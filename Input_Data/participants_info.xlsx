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data\ZeusData\Orel\Phd\Ecological_Go_NoGo_Project2\Data\"/>
    </mc:Choice>
  </mc:AlternateContent>
  <xr:revisionPtr revIDLastSave="0" documentId="13_ncr:1_{43A9BA85-B788-4CBD-8747-5373567EC9CE}" xr6:coauthVersionLast="36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2" sheetId="4" r:id="rId1"/>
    <sheet name="Sheet1" sheetId="1" r:id="rId2"/>
  </sheets>
  <definedNames>
    <definedName name="_xlnm._FilterDatabase" localSheetId="1" hidden="1">Sheet1!$A$1:$Q$65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" l="1"/>
  <c r="N5" i="1" l="1"/>
  <c r="N4" i="1"/>
  <c r="P2" i="1" l="1"/>
  <c r="O16" i="1" l="1"/>
  <c r="O22" i="1" s="1"/>
  <c r="O17" i="1" l="1"/>
  <c r="O23" i="1" s="1"/>
  <c r="N17" i="1"/>
  <c r="N16" i="1"/>
  <c r="O11" i="1"/>
  <c r="O10" i="1"/>
  <c r="N11" i="1"/>
  <c r="N10" i="1"/>
  <c r="N22" i="1" l="1"/>
  <c r="P16" i="1"/>
  <c r="N18" i="1"/>
  <c r="N23" i="1"/>
  <c r="P23" i="1" s="1"/>
  <c r="P17" i="1"/>
  <c r="O24" i="1"/>
  <c r="O18" i="1"/>
  <c r="P10" i="1"/>
  <c r="P11" i="1"/>
  <c r="N2" i="1"/>
  <c r="N3" i="1"/>
  <c r="N24" i="1" l="1"/>
  <c r="P24" i="1" s="1"/>
  <c r="P22" i="1"/>
  <c r="P18" i="1"/>
  <c r="N1" i="1"/>
  <c r="P4" i="1"/>
  <c r="O12" i="1" l="1"/>
  <c r="N12" i="1"/>
  <c r="P12" i="1" l="1"/>
  <c r="N6" i="1" l="1"/>
</calcChain>
</file>

<file path=xl/sharedStrings.xml><?xml version="1.0" encoding="utf-8"?>
<sst xmlns="http://schemas.openxmlformats.org/spreadsheetml/2006/main" count="583" uniqueCount="117">
  <si>
    <t>נוי אלמליח</t>
  </si>
  <si>
    <t>דורון הרפז</t>
  </si>
  <si>
    <t>אופק קליין</t>
  </si>
  <si>
    <t>נועה עורקבי</t>
  </si>
  <si>
    <t>פלג אברהם עוז</t>
  </si>
  <si>
    <t>אור גליפת</t>
  </si>
  <si>
    <t>בר אליחי</t>
  </si>
  <si>
    <t>חוי אדלר</t>
  </si>
  <si>
    <t>לי-אור ברק</t>
  </si>
  <si>
    <t>אליאור אליהו</t>
  </si>
  <si>
    <t>טיילר בליאבסקי</t>
  </si>
  <si>
    <t>V</t>
  </si>
  <si>
    <t>עדן בגירוב</t>
  </si>
  <si>
    <t>X</t>
  </si>
  <si>
    <t>שלי זוסב</t>
  </si>
  <si>
    <t>עומר נוטקביץ</t>
  </si>
  <si>
    <t>דניאל צבוטרוב</t>
  </si>
  <si>
    <t>רומי מונסביץ'</t>
  </si>
  <si>
    <t>חן גרפל</t>
  </si>
  <si>
    <t>אמה גולינקר</t>
  </si>
  <si>
    <t>אביגיל כהן</t>
  </si>
  <si>
    <t>אורי אפטר</t>
  </si>
  <si>
    <t>ורד הכט</t>
  </si>
  <si>
    <t>מאור קחלון</t>
  </si>
  <si>
    <t>לירון בר</t>
  </si>
  <si>
    <t>אלון הילל</t>
  </si>
  <si>
    <t>Version</t>
  </si>
  <si>
    <t>Enviroment</t>
  </si>
  <si>
    <t>Part_id</t>
  </si>
  <si>
    <t>Full name</t>
  </si>
  <si>
    <t>First session?</t>
  </si>
  <si>
    <t>Second session?</t>
  </si>
  <si>
    <t>ADHD?</t>
  </si>
  <si>
    <t>Ver1 - RIRM</t>
  </si>
  <si>
    <t>Ver1 - IRMR</t>
  </si>
  <si>
    <t>Ver1 - MRIR</t>
  </si>
  <si>
    <t>Ver2 - RIRM</t>
  </si>
  <si>
    <t>Ver2 - IRMR</t>
  </si>
  <si>
    <t>Ver2 - MRIR</t>
  </si>
  <si>
    <t>Classroom</t>
  </si>
  <si>
    <t>Café</t>
  </si>
  <si>
    <t>יעל וויל</t>
  </si>
  <si>
    <t>אליעד סבג</t>
  </si>
  <si>
    <t>קופונים</t>
  </si>
  <si>
    <t>כמות קופונים שנותרו</t>
  </si>
  <si>
    <t>מס' נבדקי CONTROL</t>
  </si>
  <si>
    <t>מס' נבדקי ADHD</t>
  </si>
  <si>
    <t>סה"כ</t>
  </si>
  <si>
    <t>אמיר סגל</t>
  </si>
  <si>
    <t>תשלום</t>
  </si>
  <si>
    <t>סה"כ שולם</t>
  </si>
  <si>
    <t>סה"כ הוחזר</t>
  </si>
  <si>
    <t>נותר להחזר</t>
  </si>
  <si>
    <t>סיימו 2 סשנים</t>
  </si>
  <si>
    <t>סיימו סשן אחד</t>
  </si>
  <si>
    <t>אורי (נוי)</t>
  </si>
  <si>
    <t>שרון ציקל</t>
  </si>
  <si>
    <t>מתן קורין</t>
  </si>
  <si>
    <t>אילנה פרטמן</t>
  </si>
  <si>
    <t>ליטל ליכטנשטיין</t>
  </si>
  <si>
    <t xml:space="preserve">בת אל סולומונוב </t>
  </si>
  <si>
    <t>ז/נ</t>
  </si>
  <si>
    <t>נ</t>
  </si>
  <si>
    <t>ז</t>
  </si>
  <si>
    <t>ADHD</t>
  </si>
  <si>
    <t>CONTROL</t>
  </si>
  <si>
    <t>ישראל</t>
  </si>
  <si>
    <t>ניצן קוזמינסקי</t>
  </si>
  <si>
    <t>אלה שגב</t>
  </si>
  <si>
    <t>הילה יוגב</t>
  </si>
  <si>
    <t>שקד שמעוני</t>
  </si>
  <si>
    <t>300 מזומן קארין</t>
  </si>
  <si>
    <t>עדן לאה</t>
  </si>
  <si>
    <t>גל קפיטולניק</t>
  </si>
  <si>
    <t>ניב כהן</t>
  </si>
  <si>
    <t>ניצן מארק</t>
  </si>
  <si>
    <t>נועה הללי</t>
  </si>
  <si>
    <t>VX</t>
  </si>
  <si>
    <t>אלעד איזנטל</t>
  </si>
  <si>
    <t>ממי שסיימו 2 סשנים</t>
  </si>
  <si>
    <t>ממי שתואמו</t>
  </si>
  <si>
    <t>V but</t>
  </si>
  <si>
    <t>חסר לתאם</t>
  </si>
  <si>
    <t>נדב אוחנה</t>
  </si>
  <si>
    <t>אופיר לנדאו</t>
  </si>
  <si>
    <t>נוי דוד</t>
  </si>
  <si>
    <t>יאיר כהן</t>
  </si>
  <si>
    <t>Row Labels</t>
  </si>
  <si>
    <t>(blank)</t>
  </si>
  <si>
    <t>Grand Total</t>
  </si>
  <si>
    <t>Count of Version</t>
  </si>
  <si>
    <t>שניר סמדר</t>
  </si>
  <si>
    <t>רותם</t>
  </si>
  <si>
    <t>הדס</t>
  </si>
  <si>
    <t>נועה</t>
  </si>
  <si>
    <t>איליה</t>
  </si>
  <si>
    <t>עידו וסרמן</t>
  </si>
  <si>
    <t>אביב ונונו</t>
  </si>
  <si>
    <t>עוז</t>
  </si>
  <si>
    <t>יונתן שאמה</t>
  </si>
  <si>
    <t>יעל גוטרמן</t>
  </si>
  <si>
    <t>אילון</t>
  </si>
  <si>
    <t>אלעד אסולין</t>
  </si>
  <si>
    <t>60 לקחתי מהקופה</t>
  </si>
  <si>
    <t>אורי שובל</t>
  </si>
  <si>
    <t>רוני דטנר</t>
  </si>
  <si>
    <t>מאיה</t>
  </si>
  <si>
    <t>אחרי 30 יום</t>
  </si>
  <si>
    <t>אחרי חודשיים</t>
  </si>
  <si>
    <t>אחרי 21 יום</t>
  </si>
  <si>
    <t>אחרי 34 יום</t>
  </si>
  <si>
    <t>אחרי 27 יום</t>
  </si>
  <si>
    <t>אחרי כחודשיים וחצי (80 יום)</t>
  </si>
  <si>
    <t>אושרי רבינוביץ'</t>
  </si>
  <si>
    <t>אליאור</t>
  </si>
  <si>
    <t>זה נבדק מספר 10 שנרשם שוב בטעות</t>
  </si>
  <si>
    <t>העברה בנקאית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</si>
</sst>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9C0006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6" borderId="0" applyNumberFormat="0" applyBorder="0" applyAlignment="0" applyProtection="0"/>
    <xf numFmtId="0" fontId="4" fillId="7" borderId="4" applyNumberFormat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7" borderId="4" xfId="2" applyAlignment="1">
      <alignment horizontal="center"/>
    </xf>
    <xf numFmtId="0" fontId="0" fillId="0" borderId="5" xfId="0" applyBorder="1" applyAlignment="1">
      <alignment horizontal="center"/>
    </xf>
    <xf numFmtId="0" fontId="4" fillId="7" borderId="6" xfId="2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7" borderId="1" xfId="2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8" borderId="4" xfId="2" applyFill="1" applyAlignment="1">
      <alignment horizontal="center"/>
    </xf>
    <xf numFmtId="0" fontId="4" fillId="8" borderId="1" xfId="2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3" fillId="9" borderId="1" xfId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3">
    <cellStyle name="Bad" xfId="1" builtinId="27"/>
    <cellStyle name="Input" xfId="2" builtinId="20"/>
    <cellStyle name="Normal" xfId="0" builtinId="0"/>
  </cellStyles>
  <dxfs count="2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el" refreshedDate="45851.833261342596" createdVersion="6" refreshedVersion="6" minRefreshableVersion="3" recordCount="50" xr:uid="{C1DC4283-E855-4B95-8F5B-DA312C133089}">
  <cacheSource type="worksheet">
    <worksheetSource ref="A1:K51" sheet="Sheet1"/>
  </cacheSource>
  <cacheFields count="11">
    <cacheField name="Part_id" numFmtId="0">
      <sharedItems containsSemiMixedTypes="0" containsString="0" containsNumber="1" containsInteger="1" minValue="1" maxValue="50"/>
    </cacheField>
    <cacheField name="Full name" numFmtId="0">
      <sharedItems/>
    </cacheField>
    <cacheField name="Version" numFmtId="0">
      <sharedItems containsBlank="1" count="7">
        <s v="Ver1 - RIRM"/>
        <s v="Ver1 - IRMR"/>
        <s v="Ver1 - MRIR"/>
        <s v="Ver2 - RIRM"/>
        <s v="Ver2 - IRMR"/>
        <s v="Ver2 - MRIR"/>
        <m/>
      </sharedItems>
    </cacheField>
    <cacheField name="First session?" numFmtId="0">
      <sharedItems containsBlank="1"/>
    </cacheField>
    <cacheField name="Enviroment" numFmtId="0">
      <sharedItems containsBlank="1" count="3">
        <s v="Café"/>
        <s v="Classroom"/>
        <m/>
      </sharedItems>
    </cacheField>
    <cacheField name="Second session?" numFmtId="0">
      <sharedItems containsBlank="1"/>
    </cacheField>
    <cacheField name="Enviroment2" numFmtId="0">
      <sharedItems containsBlank="1"/>
    </cacheField>
    <cacheField name="ADHD?" numFmtId="0">
      <sharedItems/>
    </cacheField>
    <cacheField name="ז/נ" numFmtId="0">
      <sharedItems/>
    </cacheField>
    <cacheField name="קופונים" numFmtId="0">
      <sharedItems containsString="0" containsBlank="1" containsNumber="1" minValue="2.5" maxValue="6"/>
    </cacheField>
    <cacheField name="תשלום" numFmtId="0">
      <sharedItems containsString="0" containsBlank="1" containsNumber="1" containsInteger="1" minValue="10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נוי אלמליח"/>
    <x v="0"/>
    <s v="V"/>
    <x v="0"/>
    <s v="V"/>
    <s v="Classroom"/>
    <s v="X"/>
    <s v="נ"/>
    <m/>
    <n v="300"/>
  </r>
  <r>
    <n v="2"/>
    <s v="דורון הרפז"/>
    <x v="1"/>
    <s v="V"/>
    <x v="1"/>
    <s v="V"/>
    <s v="Café"/>
    <s v="X"/>
    <s v="נ"/>
    <m/>
    <n v="300"/>
  </r>
  <r>
    <n v="3"/>
    <s v="אופק קליין"/>
    <x v="2"/>
    <s v="V"/>
    <x v="0"/>
    <s v="V"/>
    <s v="Classroom"/>
    <s v="X"/>
    <s v="נ"/>
    <m/>
    <n v="300"/>
  </r>
  <r>
    <n v="4"/>
    <s v="נועה עורקבי"/>
    <x v="3"/>
    <s v="V"/>
    <x v="1"/>
    <s v="V"/>
    <s v="Café"/>
    <s v="V"/>
    <s v="נ"/>
    <m/>
    <n v="300"/>
  </r>
  <r>
    <n v="5"/>
    <s v="פלג אברהם עוז"/>
    <x v="4"/>
    <s v="V"/>
    <x v="0"/>
    <s v="V"/>
    <s v="Classroom"/>
    <s v="X"/>
    <s v="ז"/>
    <n v="5.5"/>
    <n v="110"/>
  </r>
  <r>
    <n v="6"/>
    <s v="אור גליפת"/>
    <x v="5"/>
    <s v="V"/>
    <x v="1"/>
    <s v="V"/>
    <s v="Café"/>
    <s v="X"/>
    <s v="נ"/>
    <n v="5.5"/>
    <n v="110"/>
  </r>
  <r>
    <n v="7"/>
    <s v="בר אליחי"/>
    <x v="0"/>
    <s v="V"/>
    <x v="0"/>
    <s v="V"/>
    <s v="Classroom"/>
    <s v="X"/>
    <s v="ז"/>
    <m/>
    <n v="300"/>
  </r>
  <r>
    <n v="8"/>
    <s v="חוי אדלר"/>
    <x v="1"/>
    <s v="V"/>
    <x v="1"/>
    <s v="V"/>
    <s v="Café"/>
    <s v="X"/>
    <s v="נ"/>
    <m/>
    <n v="300"/>
  </r>
  <r>
    <n v="9"/>
    <s v="לי-אור ברק"/>
    <x v="2"/>
    <s v="V"/>
    <x v="0"/>
    <s v="V"/>
    <s v="Classroom"/>
    <s v="X"/>
    <s v="ז"/>
    <m/>
    <n v="300"/>
  </r>
  <r>
    <n v="10"/>
    <s v="אליאור אליהו"/>
    <x v="3"/>
    <s v="V"/>
    <x v="1"/>
    <s v="V"/>
    <s v="Café"/>
    <s v="X"/>
    <s v="ז"/>
    <m/>
    <n v="300"/>
  </r>
  <r>
    <n v="11"/>
    <s v="טיילר בליאבסקי"/>
    <x v="4"/>
    <s v="V"/>
    <x v="0"/>
    <s v="V"/>
    <s v="Classroom"/>
    <s v="V"/>
    <s v="ז"/>
    <m/>
    <n v="300"/>
  </r>
  <r>
    <n v="12"/>
    <s v="עדן בגירוב"/>
    <x v="5"/>
    <s v="V"/>
    <x v="1"/>
    <s v="V"/>
    <s v="Café"/>
    <s v="V"/>
    <s v="נ"/>
    <n v="5"/>
    <n v="150"/>
  </r>
  <r>
    <n v="13"/>
    <s v="שלי זוסב"/>
    <x v="0"/>
    <s v="V"/>
    <x v="0"/>
    <s v="V"/>
    <s v="Classroom"/>
    <s v="X"/>
    <s v="נ"/>
    <n v="5"/>
    <n v="136"/>
  </r>
  <r>
    <n v="14"/>
    <s v="עומר נוטקביץ"/>
    <x v="1"/>
    <s v="V"/>
    <x v="1"/>
    <s v="V"/>
    <s v="Café"/>
    <s v="X"/>
    <s v="ז"/>
    <m/>
    <n v="300"/>
  </r>
  <r>
    <n v="15"/>
    <s v="דניאל צבוטרוב"/>
    <x v="2"/>
    <s v="V"/>
    <x v="0"/>
    <s v="V"/>
    <s v="Classroom"/>
    <s v="X"/>
    <s v="ז"/>
    <m/>
    <n v="300"/>
  </r>
  <r>
    <n v="16"/>
    <s v="רומי מונסביץ'"/>
    <x v="3"/>
    <s v="V"/>
    <x v="1"/>
    <s v="V"/>
    <s v="Café"/>
    <s v="V"/>
    <s v="נ"/>
    <m/>
    <n v="300"/>
  </r>
  <r>
    <n v="17"/>
    <s v="חן גרפל"/>
    <x v="4"/>
    <s v="V"/>
    <x v="0"/>
    <s v="V"/>
    <s v="Classroom"/>
    <s v="X"/>
    <s v="נ"/>
    <m/>
    <n v="300"/>
  </r>
  <r>
    <n v="18"/>
    <s v="אמה גולינקר"/>
    <x v="5"/>
    <s v="V"/>
    <x v="1"/>
    <s v="V"/>
    <s v="Café"/>
    <s v="X"/>
    <s v="נ"/>
    <m/>
    <n v="300"/>
  </r>
  <r>
    <n v="19"/>
    <s v="אביגיל כהן"/>
    <x v="0"/>
    <s v="V"/>
    <x v="0"/>
    <s v="V"/>
    <s v="Classroom"/>
    <s v="X"/>
    <s v="נ"/>
    <n v="5"/>
    <n v="135"/>
  </r>
  <r>
    <n v="20"/>
    <s v="אורי אפטר"/>
    <x v="1"/>
    <s v="V"/>
    <x v="1"/>
    <s v="V"/>
    <s v="Café"/>
    <s v="X"/>
    <s v="נ"/>
    <n v="5.5"/>
    <n v="120"/>
  </r>
  <r>
    <n v="21"/>
    <s v="ורד הכט"/>
    <x v="2"/>
    <s v="V"/>
    <x v="0"/>
    <s v="V"/>
    <s v="Classroom"/>
    <s v="X"/>
    <s v="נ"/>
    <n v="5"/>
    <n v="135"/>
  </r>
  <r>
    <n v="22"/>
    <s v="יעל וויל"/>
    <x v="3"/>
    <s v="V"/>
    <x v="1"/>
    <s v="V"/>
    <s v="Café"/>
    <s v="X"/>
    <s v="נ"/>
    <n v="5"/>
    <n v="135"/>
  </r>
  <r>
    <n v="23"/>
    <s v="אמיר סגל"/>
    <x v="4"/>
    <s v="V"/>
    <x v="0"/>
    <s v="V"/>
    <s v="Classroom"/>
    <s v="V"/>
    <s v="ז"/>
    <m/>
    <n v="300"/>
  </r>
  <r>
    <n v="24"/>
    <s v="בת אל סולומונוב "/>
    <x v="5"/>
    <s v="V"/>
    <x v="1"/>
    <s v="V"/>
    <s v="Café"/>
    <s v="X"/>
    <s v="נ"/>
    <m/>
    <n v="300"/>
  </r>
  <r>
    <n v="25"/>
    <s v="ישראל"/>
    <x v="0"/>
    <s v="V"/>
    <x v="0"/>
    <s v="V"/>
    <s v="Classroom"/>
    <s v="V"/>
    <s v="ז"/>
    <m/>
    <n v="300"/>
  </r>
  <r>
    <n v="26"/>
    <s v="אלה שגב"/>
    <x v="1"/>
    <s v="V"/>
    <x v="1"/>
    <s v="VX"/>
    <s v="Café"/>
    <s v="V but"/>
    <s v="נ"/>
    <n v="5"/>
    <n v="100"/>
  </r>
  <r>
    <n v="27"/>
    <s v="מאור קחלון"/>
    <x v="2"/>
    <s v="V"/>
    <x v="0"/>
    <s v="V"/>
    <s v="Classroom"/>
    <s v="X"/>
    <s v="ז"/>
    <n v="3.5"/>
    <n v="195"/>
  </r>
  <r>
    <n v="28"/>
    <s v="אלון הילל"/>
    <x v="3"/>
    <s v="V"/>
    <x v="1"/>
    <s v="V"/>
    <s v="Café"/>
    <s v="X"/>
    <s v="ז"/>
    <n v="2.5"/>
    <n v="225"/>
  </r>
  <r>
    <n v="29"/>
    <s v="לירון בר"/>
    <x v="4"/>
    <s v="V"/>
    <x v="0"/>
    <s v="V"/>
    <s v="Classroom"/>
    <s v="V"/>
    <s v="נ"/>
    <m/>
    <n v="300"/>
  </r>
  <r>
    <n v="30"/>
    <s v="אליעד סבג"/>
    <x v="5"/>
    <s v="V"/>
    <x v="1"/>
    <s v="V"/>
    <s v="Café"/>
    <s v="V"/>
    <s v="ז"/>
    <m/>
    <n v="300"/>
  </r>
  <r>
    <n v="31"/>
    <s v="ניצן קוזמינסקי"/>
    <x v="0"/>
    <s v="V"/>
    <x v="0"/>
    <s v="V"/>
    <s v="Classroom"/>
    <s v="V"/>
    <s v="ז"/>
    <m/>
    <n v="300"/>
  </r>
  <r>
    <n v="32"/>
    <s v="ליטל ליכטנשטיין"/>
    <x v="1"/>
    <s v="V"/>
    <x v="1"/>
    <s v="V"/>
    <s v="Café"/>
    <s v="X"/>
    <s v="נ"/>
    <m/>
    <n v="300"/>
  </r>
  <r>
    <n v="33"/>
    <s v="אילנה פרטמן"/>
    <x v="2"/>
    <s v="V"/>
    <x v="0"/>
    <s v="V"/>
    <s v="Classroom"/>
    <s v="X"/>
    <s v="נ"/>
    <m/>
    <n v="300"/>
  </r>
  <r>
    <n v="34"/>
    <s v="הילה יוגב"/>
    <x v="3"/>
    <s v="V"/>
    <x v="1"/>
    <s v="X"/>
    <m/>
    <s v="V but"/>
    <s v="נ"/>
    <n v="6"/>
    <m/>
  </r>
  <r>
    <n v="35"/>
    <s v="מתן קורין"/>
    <x v="4"/>
    <s v="V"/>
    <x v="0"/>
    <s v="V"/>
    <s v="Classroom"/>
    <s v="X"/>
    <s v="ז"/>
    <m/>
    <n v="300"/>
  </r>
  <r>
    <n v="36"/>
    <s v="שרון ציקל"/>
    <x v="5"/>
    <s v="V"/>
    <x v="1"/>
    <s v="V"/>
    <s v="Café"/>
    <s v="X"/>
    <s v="נ"/>
    <m/>
    <n v="150"/>
  </r>
  <r>
    <n v="37"/>
    <s v="גל קפיטולניק"/>
    <x v="0"/>
    <s v="V"/>
    <x v="0"/>
    <m/>
    <m/>
    <s v="V"/>
    <s v="נ"/>
    <m/>
    <n v="150"/>
  </r>
  <r>
    <n v="38"/>
    <s v="נועה הללי"/>
    <x v="2"/>
    <s v="V"/>
    <x v="1"/>
    <s v="V"/>
    <s v="Café"/>
    <s v="V"/>
    <s v="נ"/>
    <m/>
    <n v="300"/>
  </r>
  <r>
    <n v="39"/>
    <s v="אלעד איזנטל"/>
    <x v="0"/>
    <s v="V"/>
    <x v="1"/>
    <m/>
    <m/>
    <s v="X"/>
    <s v="ז"/>
    <m/>
    <m/>
  </r>
  <r>
    <n v="40"/>
    <s v="אורי (נוי)"/>
    <x v="4"/>
    <s v="V"/>
    <x v="0"/>
    <s v="X"/>
    <m/>
    <s v="V but"/>
    <s v="ז"/>
    <m/>
    <n v="150"/>
  </r>
  <r>
    <n v="41"/>
    <s v="נדב אוחנה"/>
    <x v="3"/>
    <s v="V"/>
    <x v="0"/>
    <m/>
    <m/>
    <s v="V"/>
    <s v="ז"/>
    <m/>
    <m/>
  </r>
  <r>
    <n v="42"/>
    <s v="שקד שמעוני"/>
    <x v="1"/>
    <s v="V"/>
    <x v="0"/>
    <m/>
    <m/>
    <s v="V"/>
    <s v="נ"/>
    <m/>
    <m/>
  </r>
  <r>
    <n v="43"/>
    <s v="ניב כהן"/>
    <x v="4"/>
    <s v="V"/>
    <x v="1"/>
    <s v="V"/>
    <s v="Café"/>
    <s v="V"/>
    <s v="ז"/>
    <m/>
    <n v="300"/>
  </r>
  <r>
    <n v="44"/>
    <s v="אופיר לנדאו"/>
    <x v="5"/>
    <s v="V"/>
    <x v="0"/>
    <s v="V"/>
    <s v="Classroom"/>
    <s v="V"/>
    <s v="ז"/>
    <m/>
    <n v="300"/>
  </r>
  <r>
    <n v="45"/>
    <s v="עדן לאה"/>
    <x v="0"/>
    <s v="V"/>
    <x v="1"/>
    <m/>
    <m/>
    <s v="V"/>
    <s v="נ"/>
    <m/>
    <m/>
  </r>
  <r>
    <n v="46"/>
    <s v="ניצן מארק"/>
    <x v="6"/>
    <m/>
    <x v="2"/>
    <m/>
    <m/>
    <s v="V"/>
    <s v="נ"/>
    <m/>
    <m/>
  </r>
  <r>
    <n v="47"/>
    <s v="יאיר כהן"/>
    <x v="6"/>
    <m/>
    <x v="2"/>
    <m/>
    <m/>
    <s v="V"/>
    <s v="ז"/>
    <m/>
    <m/>
  </r>
  <r>
    <n v="48"/>
    <s v="נוי דוד"/>
    <x v="6"/>
    <m/>
    <x v="2"/>
    <m/>
    <m/>
    <s v="V"/>
    <s v="נ"/>
    <m/>
    <m/>
  </r>
  <r>
    <n v="49"/>
    <s v="מאי ליבוביץ"/>
    <x v="6"/>
    <m/>
    <x v="2"/>
    <m/>
    <m/>
    <s v="V"/>
    <s v="נ"/>
    <m/>
    <m/>
  </r>
  <r>
    <n v="50"/>
    <s v="יעל גוטרמן"/>
    <x v="6"/>
    <m/>
    <x v="2"/>
    <m/>
    <m/>
    <s v="V but"/>
    <s v="נ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D481D-7EEF-4AC5-B3CD-CE766EF152C4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4" firstHeaderRow="1" firstDataRow="1" firstDataCol="1"/>
  <pivotFields count="11">
    <pivotField showAll="0"/>
    <pivotField showAll="0"/>
    <pivotField axis="axisRow" dataField="1" showAll="0">
      <items count="8">
        <item x="1"/>
        <item x="2"/>
        <item x="0"/>
        <item x="4"/>
        <item x="5"/>
        <item x="3"/>
        <item x="6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2"/>
    <field x="4"/>
  </rowFields>
  <rowItems count="2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 v="2"/>
    </i>
    <i t="grand">
      <x/>
    </i>
  </rowItems>
  <colItems count="1">
    <i/>
  </colItems>
  <dataFields count="1">
    <dataField name="Count of Vers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7E3B-6928-4FC1-9F95-5E17C3749DF1}">
  <dimension ref="A3:B24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5" bestFit="1" customWidth="1"/>
  </cols>
  <sheetData>
    <row r="3" spans="1:2" x14ac:dyDescent="0.25">
      <c r="A3" s="22" t="s">
        <v>87</v>
      </c>
      <c r="B3" t="s">
        <v>90</v>
      </c>
    </row>
    <row r="4" spans="1:2" x14ac:dyDescent="0.25">
      <c r="A4" s="23" t="s">
        <v>34</v>
      </c>
      <c r="B4" s="21">
        <v>7</v>
      </c>
    </row>
    <row r="5" spans="1:2" x14ac:dyDescent="0.25">
      <c r="A5" s="24" t="s">
        <v>40</v>
      </c>
      <c r="B5" s="21">
        <v>1</v>
      </c>
    </row>
    <row r="6" spans="1:2" x14ac:dyDescent="0.25">
      <c r="A6" s="24" t="s">
        <v>39</v>
      </c>
      <c r="B6" s="21">
        <v>6</v>
      </c>
    </row>
    <row r="7" spans="1:2" x14ac:dyDescent="0.25">
      <c r="A7" s="23" t="s">
        <v>35</v>
      </c>
      <c r="B7" s="21">
        <v>7</v>
      </c>
    </row>
    <row r="8" spans="1:2" x14ac:dyDescent="0.25">
      <c r="A8" s="24" t="s">
        <v>40</v>
      </c>
      <c r="B8" s="21">
        <v>6</v>
      </c>
    </row>
    <row r="9" spans="1:2" x14ac:dyDescent="0.25">
      <c r="A9" s="24" t="s">
        <v>39</v>
      </c>
      <c r="B9" s="21">
        <v>1</v>
      </c>
    </row>
    <row r="10" spans="1:2" x14ac:dyDescent="0.25">
      <c r="A10" s="23" t="s">
        <v>33</v>
      </c>
      <c r="B10" s="21">
        <v>9</v>
      </c>
    </row>
    <row r="11" spans="1:2" x14ac:dyDescent="0.25">
      <c r="A11" s="24" t="s">
        <v>40</v>
      </c>
      <c r="B11" s="21">
        <v>7</v>
      </c>
    </row>
    <row r="12" spans="1:2" x14ac:dyDescent="0.25">
      <c r="A12" s="24" t="s">
        <v>39</v>
      </c>
      <c r="B12" s="21">
        <v>2</v>
      </c>
    </row>
    <row r="13" spans="1:2" x14ac:dyDescent="0.25">
      <c r="A13" s="23" t="s">
        <v>37</v>
      </c>
      <c r="B13" s="21">
        <v>8</v>
      </c>
    </row>
    <row r="14" spans="1:2" x14ac:dyDescent="0.25">
      <c r="A14" s="24" t="s">
        <v>40</v>
      </c>
      <c r="B14" s="21">
        <v>7</v>
      </c>
    </row>
    <row r="15" spans="1:2" x14ac:dyDescent="0.25">
      <c r="A15" s="24" t="s">
        <v>39</v>
      </c>
      <c r="B15" s="21">
        <v>1</v>
      </c>
    </row>
    <row r="16" spans="1:2" x14ac:dyDescent="0.25">
      <c r="A16" s="23" t="s">
        <v>38</v>
      </c>
      <c r="B16" s="21">
        <v>7</v>
      </c>
    </row>
    <row r="17" spans="1:2" x14ac:dyDescent="0.25">
      <c r="A17" s="24" t="s">
        <v>40</v>
      </c>
      <c r="B17" s="21">
        <v>1</v>
      </c>
    </row>
    <row r="18" spans="1:2" x14ac:dyDescent="0.25">
      <c r="A18" s="24" t="s">
        <v>39</v>
      </c>
      <c r="B18" s="21">
        <v>6</v>
      </c>
    </row>
    <row r="19" spans="1:2" x14ac:dyDescent="0.25">
      <c r="A19" s="23" t="s">
        <v>36</v>
      </c>
      <c r="B19" s="21">
        <v>7</v>
      </c>
    </row>
    <row r="20" spans="1:2" x14ac:dyDescent="0.25">
      <c r="A20" s="24" t="s">
        <v>40</v>
      </c>
      <c r="B20" s="21">
        <v>1</v>
      </c>
    </row>
    <row r="21" spans="1:2" x14ac:dyDescent="0.25">
      <c r="A21" s="24" t="s">
        <v>39</v>
      </c>
      <c r="B21" s="21">
        <v>6</v>
      </c>
    </row>
    <row r="22" spans="1:2" x14ac:dyDescent="0.25">
      <c r="A22" s="23" t="s">
        <v>88</v>
      </c>
      <c r="B22" s="21"/>
    </row>
    <row r="23" spans="1:2" x14ac:dyDescent="0.25">
      <c r="A23" s="24" t="s">
        <v>88</v>
      </c>
      <c r="B23" s="21"/>
    </row>
    <row r="24" spans="1:2" x14ac:dyDescent="0.25">
      <c r="A24" s="23" t="s">
        <v>89</v>
      </c>
      <c r="B24" s="21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rightToLeft="1" tabSelected="1" topLeftCell="A46" zoomScale="91" zoomScaleNormal="91" workbookViewId="0">
      <selection activeCell="H59" sqref="H59"/>
    </sheetView>
  </sheetViews>
  <sheetFormatPr defaultColWidth="9.140625" defaultRowHeight="15" x14ac:dyDescent="0.25"/>
  <cols>
    <col min="1" max="1" width="10.28515625" style="12" bestFit="1" customWidth="1"/>
    <col min="2" max="2" width="14.28515625" style="12" bestFit="1" customWidth="1"/>
    <col min="3" max="3" width="12.7109375" style="12" customWidth="1"/>
    <col min="4" max="4" width="12.85546875" style="12" bestFit="1" customWidth="1"/>
    <col min="5" max="5" width="11.28515625" style="12" bestFit="1" customWidth="1"/>
    <col min="6" max="6" width="15.5703125" style="12" bestFit="1" customWidth="1"/>
    <col min="7" max="7" width="11.28515625" style="12" bestFit="1" customWidth="1"/>
    <col min="8" max="10" width="9.140625" style="12"/>
    <col min="11" max="11" width="6.7109375" style="12" bestFit="1" customWidth="1"/>
    <col min="12" max="12" width="33.140625" style="2" bestFit="1" customWidth="1"/>
    <col min="13" max="13" width="18.28515625" style="2" bestFit="1" customWidth="1"/>
    <col min="14" max="14" width="9.140625" style="2"/>
    <col min="15" max="15" width="10.42578125" style="2" bestFit="1" customWidth="1"/>
    <col min="16" max="16" width="9.140625" style="2"/>
    <col min="17" max="17" width="19.140625" style="2" bestFit="1" customWidth="1"/>
    <col min="18" max="16384" width="9.140625" style="2"/>
  </cols>
  <sheetData>
    <row r="1" spans="1:17" x14ac:dyDescent="0.25">
      <c r="A1" s="1" t="s">
        <v>28</v>
      </c>
      <c r="B1" s="1" t="s">
        <v>29</v>
      </c>
      <c r="C1" s="1" t="s">
        <v>26</v>
      </c>
      <c r="D1" s="1" t="s">
        <v>30</v>
      </c>
      <c r="E1" s="1" t="s">
        <v>27</v>
      </c>
      <c r="F1" s="1" t="s">
        <v>31</v>
      </c>
      <c r="G1" s="1" t="s">
        <v>27</v>
      </c>
      <c r="H1" s="5" t="s">
        <v>32</v>
      </c>
      <c r="I1" s="5" t="s">
        <v>61</v>
      </c>
      <c r="J1" s="1" t="s">
        <v>43</v>
      </c>
      <c r="K1" s="1" t="s">
        <v>49</v>
      </c>
      <c r="M1" s="4" t="s">
        <v>44</v>
      </c>
      <c r="N1" s="4">
        <f>45-SUM(J2:J47)</f>
        <v>-13.5</v>
      </c>
      <c r="O1" s="32" t="s">
        <v>49</v>
      </c>
      <c r="P1" s="33"/>
    </row>
    <row r="2" spans="1:17" x14ac:dyDescent="0.25">
      <c r="A2" s="3">
        <v>1</v>
      </c>
      <c r="B2" s="3" t="s">
        <v>0</v>
      </c>
      <c r="C2" s="3" t="s">
        <v>33</v>
      </c>
      <c r="D2" s="3" t="s">
        <v>11</v>
      </c>
      <c r="E2" s="3" t="s">
        <v>40</v>
      </c>
      <c r="F2" s="3" t="s">
        <v>11</v>
      </c>
      <c r="G2" s="3" t="s">
        <v>39</v>
      </c>
      <c r="H2" s="6" t="s">
        <v>13</v>
      </c>
      <c r="I2" s="6" t="s">
        <v>62</v>
      </c>
      <c r="J2" s="3"/>
      <c r="K2" s="3">
        <v>300</v>
      </c>
      <c r="M2" s="4" t="s">
        <v>45</v>
      </c>
      <c r="N2" s="4">
        <f>COUNTIFS(H:H,"X",D:D,"V")</f>
        <v>32</v>
      </c>
      <c r="O2" s="1" t="s">
        <v>50</v>
      </c>
      <c r="P2" s="3">
        <f>SUM(K:K)</f>
        <v>17221</v>
      </c>
    </row>
    <row r="3" spans="1:17" x14ac:dyDescent="0.25">
      <c r="A3" s="3">
        <v>2</v>
      </c>
      <c r="B3" s="3" t="s">
        <v>1</v>
      </c>
      <c r="C3" s="3" t="s">
        <v>34</v>
      </c>
      <c r="D3" s="3" t="s">
        <v>11</v>
      </c>
      <c r="E3" s="3" t="s">
        <v>39</v>
      </c>
      <c r="F3" s="3" t="s">
        <v>11</v>
      </c>
      <c r="G3" s="3" t="s">
        <v>40</v>
      </c>
      <c r="H3" s="7" t="s">
        <v>13</v>
      </c>
      <c r="I3" s="7" t="s">
        <v>62</v>
      </c>
      <c r="J3" s="3"/>
      <c r="K3" s="3">
        <v>300</v>
      </c>
      <c r="M3" s="4" t="s">
        <v>46</v>
      </c>
      <c r="N3" s="4">
        <f>COUNTIFS(H:H,"V",D:D,"V")</f>
        <v>29</v>
      </c>
      <c r="O3" s="1" t="s">
        <v>51</v>
      </c>
      <c r="P3" s="3">
        <f>8300 + 750 + 3000 + 1500 + 3500</f>
        <v>17050</v>
      </c>
      <c r="Q3" s="2" t="s">
        <v>71</v>
      </c>
    </row>
    <row r="4" spans="1:17" x14ac:dyDescent="0.25">
      <c r="A4" s="3">
        <v>3</v>
      </c>
      <c r="B4" s="3" t="s">
        <v>2</v>
      </c>
      <c r="C4" s="3" t="s">
        <v>35</v>
      </c>
      <c r="D4" s="3" t="s">
        <v>11</v>
      </c>
      <c r="E4" s="3" t="s">
        <v>40</v>
      </c>
      <c r="F4" s="3" t="s">
        <v>11</v>
      </c>
      <c r="G4" s="3" t="s">
        <v>39</v>
      </c>
      <c r="H4" s="7" t="s">
        <v>13</v>
      </c>
      <c r="I4" s="7" t="s">
        <v>62</v>
      </c>
      <c r="J4" s="3"/>
      <c r="K4" s="3">
        <v>300</v>
      </c>
      <c r="M4" s="4" t="s">
        <v>54</v>
      </c>
      <c r="N4" s="4">
        <f>COUNTIFS(D:D,"V",H:H,"&lt;&gt;V but")</f>
        <v>61</v>
      </c>
      <c r="O4" s="1" t="s">
        <v>52</v>
      </c>
      <c r="P4" s="3">
        <f>P2-P3</f>
        <v>171</v>
      </c>
    </row>
    <row r="5" spans="1:17" x14ac:dyDescent="0.25">
      <c r="A5" s="3">
        <v>4</v>
      </c>
      <c r="B5" s="3" t="s">
        <v>3</v>
      </c>
      <c r="C5" s="3" t="s">
        <v>36</v>
      </c>
      <c r="D5" s="3" t="s">
        <v>11</v>
      </c>
      <c r="E5" s="3" t="s">
        <v>39</v>
      </c>
      <c r="F5" s="3" t="s">
        <v>11</v>
      </c>
      <c r="G5" s="3" t="s">
        <v>40</v>
      </c>
      <c r="H5" s="7" t="s">
        <v>11</v>
      </c>
      <c r="I5" s="7" t="s">
        <v>62</v>
      </c>
      <c r="J5" s="3"/>
      <c r="K5" s="3">
        <v>300</v>
      </c>
      <c r="M5" s="4" t="s">
        <v>53</v>
      </c>
      <c r="N5" s="4">
        <f>COUNTIFS(F:F, "V", D:D, "V",H:H,"&lt;&gt;V but")</f>
        <v>61</v>
      </c>
    </row>
    <row r="6" spans="1:17" x14ac:dyDescent="0.25">
      <c r="A6" s="3">
        <v>5</v>
      </c>
      <c r="B6" s="3" t="s">
        <v>4</v>
      </c>
      <c r="C6" s="3" t="s">
        <v>37</v>
      </c>
      <c r="D6" s="3" t="s">
        <v>11</v>
      </c>
      <c r="E6" s="3" t="s">
        <v>40</v>
      </c>
      <c r="F6" s="3" t="s">
        <v>11</v>
      </c>
      <c r="G6" s="3" t="s">
        <v>39</v>
      </c>
      <c r="H6" s="7" t="s">
        <v>13</v>
      </c>
      <c r="I6" s="7" t="s">
        <v>63</v>
      </c>
      <c r="J6" s="8">
        <v>5.5</v>
      </c>
      <c r="K6" s="3">
        <v>110</v>
      </c>
      <c r="M6" s="4" t="s">
        <v>47</v>
      </c>
      <c r="N6" s="4">
        <f>SUM(N2:N3)</f>
        <v>61</v>
      </c>
    </row>
    <row r="7" spans="1:17" x14ac:dyDescent="0.25">
      <c r="A7" s="3">
        <v>6</v>
      </c>
      <c r="B7" s="3" t="s">
        <v>5</v>
      </c>
      <c r="C7" s="3" t="s">
        <v>38</v>
      </c>
      <c r="D7" s="3" t="s">
        <v>11</v>
      </c>
      <c r="E7" s="3" t="s">
        <v>39</v>
      </c>
      <c r="F7" s="3" t="s">
        <v>11</v>
      </c>
      <c r="G7" s="3" t="s">
        <v>40</v>
      </c>
      <c r="H7" s="7" t="s">
        <v>13</v>
      </c>
      <c r="I7" s="7" t="s">
        <v>62</v>
      </c>
      <c r="J7" s="8">
        <v>5.5</v>
      </c>
      <c r="K7" s="3">
        <v>110</v>
      </c>
    </row>
    <row r="8" spans="1:17" x14ac:dyDescent="0.25">
      <c r="A8" s="3">
        <v>7</v>
      </c>
      <c r="B8" s="3" t="s">
        <v>6</v>
      </c>
      <c r="C8" s="3" t="s">
        <v>33</v>
      </c>
      <c r="D8" s="3" t="s">
        <v>11</v>
      </c>
      <c r="E8" s="3" t="s">
        <v>40</v>
      </c>
      <c r="F8" s="3" t="s">
        <v>11</v>
      </c>
      <c r="G8" s="3" t="s">
        <v>39</v>
      </c>
      <c r="H8" s="7" t="s">
        <v>13</v>
      </c>
      <c r="I8" s="7" t="s">
        <v>63</v>
      </c>
      <c r="J8" s="3"/>
      <c r="K8" s="3">
        <v>300</v>
      </c>
      <c r="M8" s="13" t="s">
        <v>79</v>
      </c>
    </row>
    <row r="9" spans="1:17" x14ac:dyDescent="0.25">
      <c r="A9" s="3">
        <v>8</v>
      </c>
      <c r="B9" s="3" t="s">
        <v>7</v>
      </c>
      <c r="C9" s="3" t="s">
        <v>34</v>
      </c>
      <c r="D9" s="3" t="s">
        <v>11</v>
      </c>
      <c r="E9" s="3" t="s">
        <v>39</v>
      </c>
      <c r="F9" s="3" t="s">
        <v>11</v>
      </c>
      <c r="G9" s="3" t="s">
        <v>40</v>
      </c>
      <c r="H9" s="7" t="s">
        <v>13</v>
      </c>
      <c r="I9" s="7" t="s">
        <v>62</v>
      </c>
      <c r="J9" s="3"/>
      <c r="K9" s="3">
        <v>300</v>
      </c>
      <c r="M9" s="3"/>
      <c r="N9" s="10" t="s">
        <v>64</v>
      </c>
      <c r="O9" s="10" t="s">
        <v>65</v>
      </c>
      <c r="P9" s="9" t="s">
        <v>47</v>
      </c>
    </row>
    <row r="10" spans="1:17" x14ac:dyDescent="0.25">
      <c r="A10" s="3">
        <v>9</v>
      </c>
      <c r="B10" s="3" t="s">
        <v>8</v>
      </c>
      <c r="C10" s="3" t="s">
        <v>35</v>
      </c>
      <c r="D10" s="3" t="s">
        <v>11</v>
      </c>
      <c r="E10" s="3" t="s">
        <v>40</v>
      </c>
      <c r="F10" s="3" t="s">
        <v>11</v>
      </c>
      <c r="G10" s="3" t="s">
        <v>39</v>
      </c>
      <c r="H10" s="7" t="s">
        <v>13</v>
      </c>
      <c r="I10" s="7" t="s">
        <v>63</v>
      </c>
      <c r="J10" s="3"/>
      <c r="K10" s="3">
        <v>300</v>
      </c>
      <c r="M10" s="1" t="s">
        <v>63</v>
      </c>
      <c r="N10" s="3">
        <f>COUNTIFS($H:$H,"V",$I:$I,"ז",F:F,"V",D:D,"V")</f>
        <v>13</v>
      </c>
      <c r="O10" s="3">
        <f>COUNTIFS($H:$H,"X",$I:$I,"ז",F:F,"V",D:D,"V")</f>
        <v>16</v>
      </c>
      <c r="P10" s="1">
        <f>SUM(N10:O10)</f>
        <v>29</v>
      </c>
    </row>
    <row r="11" spans="1:17" x14ac:dyDescent="0.25">
      <c r="A11" s="3">
        <v>10</v>
      </c>
      <c r="B11" s="3" t="s">
        <v>9</v>
      </c>
      <c r="C11" s="3" t="s">
        <v>36</v>
      </c>
      <c r="D11" s="3" t="s">
        <v>11</v>
      </c>
      <c r="E11" s="3" t="s">
        <v>39</v>
      </c>
      <c r="F11" s="3" t="s">
        <v>11</v>
      </c>
      <c r="G11" s="3" t="s">
        <v>40</v>
      </c>
      <c r="H11" s="7" t="s">
        <v>13</v>
      </c>
      <c r="I11" s="7" t="s">
        <v>63</v>
      </c>
      <c r="J11" s="3"/>
      <c r="K11" s="3">
        <v>300</v>
      </c>
      <c r="M11" s="1" t="s">
        <v>62</v>
      </c>
      <c r="N11" s="3">
        <f>COUNTIFS(H:H,"V",I:I,"נ",F:F,"V",D:D,"V")</f>
        <v>16</v>
      </c>
      <c r="O11" s="3">
        <f>COUNTIFS($H:$H,"X",$I:$I,"נ",F:F,"V",D:D,"V")</f>
        <v>16</v>
      </c>
      <c r="P11" s="1">
        <f>SUM(N11:O11)</f>
        <v>32</v>
      </c>
    </row>
    <row r="12" spans="1:17" x14ac:dyDescent="0.25">
      <c r="A12" s="3">
        <v>11</v>
      </c>
      <c r="B12" s="3" t="s">
        <v>10</v>
      </c>
      <c r="C12" s="3" t="s">
        <v>37</v>
      </c>
      <c r="D12" s="3" t="s">
        <v>11</v>
      </c>
      <c r="E12" s="3" t="s">
        <v>40</v>
      </c>
      <c r="F12" s="3" t="s">
        <v>11</v>
      </c>
      <c r="G12" s="3" t="s">
        <v>39</v>
      </c>
      <c r="H12" s="7" t="s">
        <v>11</v>
      </c>
      <c r="I12" s="7" t="s">
        <v>63</v>
      </c>
      <c r="J12" s="3"/>
      <c r="K12" s="3">
        <v>300</v>
      </c>
      <c r="M12" s="11" t="s">
        <v>47</v>
      </c>
      <c r="N12" s="1">
        <f>SUM(N10:N11)</f>
        <v>29</v>
      </c>
      <c r="O12" s="1">
        <f>SUM(O10:O11)</f>
        <v>32</v>
      </c>
      <c r="P12" s="14">
        <f>SUM(N12:O12)</f>
        <v>61</v>
      </c>
    </row>
    <row r="13" spans="1:17" x14ac:dyDescent="0.25">
      <c r="A13" s="3">
        <v>12</v>
      </c>
      <c r="B13" s="3" t="s">
        <v>12</v>
      </c>
      <c r="C13" s="3" t="s">
        <v>38</v>
      </c>
      <c r="D13" s="3" t="s">
        <v>11</v>
      </c>
      <c r="E13" s="3" t="s">
        <v>39</v>
      </c>
      <c r="F13" s="3" t="s">
        <v>11</v>
      </c>
      <c r="G13" s="3" t="s">
        <v>40</v>
      </c>
      <c r="H13" s="7" t="s">
        <v>11</v>
      </c>
      <c r="I13" s="7" t="s">
        <v>62</v>
      </c>
      <c r="J13" s="8">
        <v>5</v>
      </c>
      <c r="K13" s="3">
        <v>150</v>
      </c>
    </row>
    <row r="14" spans="1:17" x14ac:dyDescent="0.25">
      <c r="A14" s="3">
        <v>13</v>
      </c>
      <c r="B14" s="3" t="s">
        <v>14</v>
      </c>
      <c r="C14" s="3" t="s">
        <v>33</v>
      </c>
      <c r="D14" s="3" t="s">
        <v>11</v>
      </c>
      <c r="E14" s="3" t="s">
        <v>40</v>
      </c>
      <c r="F14" s="3" t="s">
        <v>11</v>
      </c>
      <c r="G14" s="3" t="s">
        <v>39</v>
      </c>
      <c r="H14" s="7" t="s">
        <v>13</v>
      </c>
      <c r="I14" s="7" t="s">
        <v>62</v>
      </c>
      <c r="J14" s="8">
        <v>5</v>
      </c>
      <c r="K14" s="3">
        <v>136</v>
      </c>
      <c r="M14" s="13" t="s">
        <v>80</v>
      </c>
    </row>
    <row r="15" spans="1:17" x14ac:dyDescent="0.25">
      <c r="A15" s="3">
        <v>14</v>
      </c>
      <c r="B15" s="3" t="s">
        <v>15</v>
      </c>
      <c r="C15" s="3" t="s">
        <v>34</v>
      </c>
      <c r="D15" s="3" t="s">
        <v>11</v>
      </c>
      <c r="E15" s="3" t="s">
        <v>39</v>
      </c>
      <c r="F15" s="3" t="s">
        <v>11</v>
      </c>
      <c r="G15" s="3" t="s">
        <v>40</v>
      </c>
      <c r="H15" s="7" t="s">
        <v>13</v>
      </c>
      <c r="I15" s="7" t="s">
        <v>63</v>
      </c>
      <c r="J15" s="3"/>
      <c r="K15" s="3">
        <v>300</v>
      </c>
      <c r="M15" s="3"/>
      <c r="N15" s="10" t="s">
        <v>64</v>
      </c>
      <c r="O15" s="10" t="s">
        <v>65</v>
      </c>
      <c r="P15" s="9" t="s">
        <v>47</v>
      </c>
    </row>
    <row r="16" spans="1:17" x14ac:dyDescent="0.25">
      <c r="A16" s="3">
        <v>15</v>
      </c>
      <c r="B16" s="3" t="s">
        <v>16</v>
      </c>
      <c r="C16" s="3" t="s">
        <v>35</v>
      </c>
      <c r="D16" s="3" t="s">
        <v>11</v>
      </c>
      <c r="E16" s="3" t="s">
        <v>40</v>
      </c>
      <c r="F16" s="3" t="s">
        <v>11</v>
      </c>
      <c r="G16" s="3" t="s">
        <v>39</v>
      </c>
      <c r="H16" s="7" t="s">
        <v>13</v>
      </c>
      <c r="I16" s="7" t="s">
        <v>63</v>
      </c>
      <c r="J16" s="3"/>
      <c r="K16" s="3">
        <v>300</v>
      </c>
      <c r="M16" s="1" t="s">
        <v>63</v>
      </c>
      <c r="N16" s="3">
        <f>COUNTIFS($H:$H,"V",$I:$I,"ז")</f>
        <v>13</v>
      </c>
      <c r="O16" s="3">
        <f>COUNTIFS($H:$H,"X",$I:$I,"ז")</f>
        <v>16</v>
      </c>
      <c r="P16" s="1">
        <f>SUM(N16:O16)</f>
        <v>29</v>
      </c>
    </row>
    <row r="17" spans="1:16" x14ac:dyDescent="0.25">
      <c r="A17" s="3">
        <v>16</v>
      </c>
      <c r="B17" s="3" t="s">
        <v>17</v>
      </c>
      <c r="C17" s="3" t="s">
        <v>36</v>
      </c>
      <c r="D17" s="3" t="s">
        <v>11</v>
      </c>
      <c r="E17" s="3" t="s">
        <v>39</v>
      </c>
      <c r="F17" s="3" t="s">
        <v>11</v>
      </c>
      <c r="G17" s="3" t="s">
        <v>40</v>
      </c>
      <c r="H17" s="7" t="s">
        <v>11</v>
      </c>
      <c r="I17" s="7" t="s">
        <v>62</v>
      </c>
      <c r="J17" s="3"/>
      <c r="K17" s="3">
        <v>300</v>
      </c>
      <c r="M17" s="1" t="s">
        <v>62</v>
      </c>
      <c r="N17" s="3">
        <f>COUNTIFS(H:H,"V",I:I,"נ")</f>
        <v>16</v>
      </c>
      <c r="O17" s="3">
        <f>COUNTIFS($H:$H,"X",$I:$I,"נ")</f>
        <v>16</v>
      </c>
      <c r="P17" s="1">
        <f>SUM(N17:O17)</f>
        <v>32</v>
      </c>
    </row>
    <row r="18" spans="1:16" x14ac:dyDescent="0.25">
      <c r="A18" s="3">
        <v>17</v>
      </c>
      <c r="B18" s="3" t="s">
        <v>18</v>
      </c>
      <c r="C18" s="3" t="s">
        <v>37</v>
      </c>
      <c r="D18" s="3" t="s">
        <v>11</v>
      </c>
      <c r="E18" s="3" t="s">
        <v>40</v>
      </c>
      <c r="F18" s="3" t="s">
        <v>11</v>
      </c>
      <c r="G18" s="3" t="s">
        <v>39</v>
      </c>
      <c r="H18" s="7" t="s">
        <v>13</v>
      </c>
      <c r="I18" s="7" t="s">
        <v>62</v>
      </c>
      <c r="J18" s="3"/>
      <c r="K18" s="3">
        <v>300</v>
      </c>
      <c r="M18" s="11" t="s">
        <v>47</v>
      </c>
      <c r="N18" s="1">
        <f>SUM(N16:N17)</f>
        <v>29</v>
      </c>
      <c r="O18" s="1">
        <f>SUM(O16:O17)</f>
        <v>32</v>
      </c>
      <c r="P18" s="14">
        <f>SUM(N18:O18)</f>
        <v>61</v>
      </c>
    </row>
    <row r="19" spans="1:16" x14ac:dyDescent="0.25">
      <c r="A19" s="3">
        <v>18</v>
      </c>
      <c r="B19" s="3" t="s">
        <v>19</v>
      </c>
      <c r="C19" s="3" t="s">
        <v>38</v>
      </c>
      <c r="D19" s="3" t="s">
        <v>11</v>
      </c>
      <c r="E19" s="3" t="s">
        <v>39</v>
      </c>
      <c r="F19" s="3" t="s">
        <v>11</v>
      </c>
      <c r="G19" s="3" t="s">
        <v>40</v>
      </c>
      <c r="H19" s="7" t="s">
        <v>13</v>
      </c>
      <c r="I19" s="7" t="s">
        <v>62</v>
      </c>
      <c r="J19" s="3"/>
      <c r="K19" s="3">
        <v>300</v>
      </c>
    </row>
    <row r="20" spans="1:16" x14ac:dyDescent="0.25">
      <c r="A20" s="3">
        <v>19</v>
      </c>
      <c r="B20" s="3" t="s">
        <v>20</v>
      </c>
      <c r="C20" s="3" t="s">
        <v>33</v>
      </c>
      <c r="D20" s="3" t="s">
        <v>11</v>
      </c>
      <c r="E20" s="3" t="s">
        <v>40</v>
      </c>
      <c r="F20" s="3" t="s">
        <v>11</v>
      </c>
      <c r="G20" s="3" t="s">
        <v>39</v>
      </c>
      <c r="H20" s="7" t="s">
        <v>13</v>
      </c>
      <c r="I20" s="7" t="s">
        <v>62</v>
      </c>
      <c r="J20" s="8">
        <v>5</v>
      </c>
      <c r="K20" s="3">
        <v>135</v>
      </c>
      <c r="M20" s="13" t="s">
        <v>82</v>
      </c>
    </row>
    <row r="21" spans="1:16" x14ac:dyDescent="0.25">
      <c r="A21" s="3">
        <v>20</v>
      </c>
      <c r="B21" s="3" t="s">
        <v>21</v>
      </c>
      <c r="C21" s="3" t="s">
        <v>34</v>
      </c>
      <c r="D21" s="3" t="s">
        <v>11</v>
      </c>
      <c r="E21" s="3" t="s">
        <v>39</v>
      </c>
      <c r="F21" s="3" t="s">
        <v>11</v>
      </c>
      <c r="G21" s="3" t="s">
        <v>40</v>
      </c>
      <c r="H21" s="7" t="s">
        <v>13</v>
      </c>
      <c r="I21" s="7" t="s">
        <v>62</v>
      </c>
      <c r="J21" s="8">
        <v>5.5</v>
      </c>
      <c r="K21" s="3">
        <v>120</v>
      </c>
      <c r="M21" s="3"/>
      <c r="N21" s="10" t="s">
        <v>64</v>
      </c>
      <c r="O21" s="10" t="s">
        <v>65</v>
      </c>
      <c r="P21" s="9" t="s">
        <v>47</v>
      </c>
    </row>
    <row r="22" spans="1:16" x14ac:dyDescent="0.25">
      <c r="A22" s="3">
        <v>21</v>
      </c>
      <c r="B22" s="3" t="s">
        <v>22</v>
      </c>
      <c r="C22" s="3" t="s">
        <v>35</v>
      </c>
      <c r="D22" s="3" t="s">
        <v>11</v>
      </c>
      <c r="E22" s="3" t="s">
        <v>40</v>
      </c>
      <c r="F22" s="3" t="s">
        <v>11</v>
      </c>
      <c r="G22" s="3" t="s">
        <v>39</v>
      </c>
      <c r="H22" s="7" t="s">
        <v>13</v>
      </c>
      <c r="I22" s="7" t="s">
        <v>62</v>
      </c>
      <c r="J22" s="8">
        <v>5</v>
      </c>
      <c r="K22" s="3">
        <v>135</v>
      </c>
      <c r="M22" s="1" t="s">
        <v>63</v>
      </c>
      <c r="N22" s="3">
        <f>15-N16</f>
        <v>2</v>
      </c>
      <c r="O22" s="3">
        <f>15-O16</f>
        <v>-1</v>
      </c>
      <c r="P22" s="1">
        <f>SUM(N22:O22)</f>
        <v>1</v>
      </c>
    </row>
    <row r="23" spans="1:16" x14ac:dyDescent="0.25">
      <c r="A23" s="3">
        <v>22</v>
      </c>
      <c r="B23" s="3" t="s">
        <v>41</v>
      </c>
      <c r="C23" s="3" t="s">
        <v>36</v>
      </c>
      <c r="D23" s="3" t="s">
        <v>11</v>
      </c>
      <c r="E23" s="3" t="s">
        <v>39</v>
      </c>
      <c r="F23" s="3" t="s">
        <v>11</v>
      </c>
      <c r="G23" s="3" t="s">
        <v>40</v>
      </c>
      <c r="H23" s="7" t="s">
        <v>13</v>
      </c>
      <c r="I23" s="7" t="s">
        <v>62</v>
      </c>
      <c r="J23" s="8">
        <v>5</v>
      </c>
      <c r="K23" s="3">
        <v>135</v>
      </c>
      <c r="M23" s="1" t="s">
        <v>62</v>
      </c>
      <c r="N23" s="3">
        <f>15-N17</f>
        <v>-1</v>
      </c>
      <c r="O23" s="3">
        <f>15-O17</f>
        <v>-1</v>
      </c>
      <c r="P23" s="1">
        <f>N23</f>
        <v>-1</v>
      </c>
    </row>
    <row r="24" spans="1:16" x14ac:dyDescent="0.25">
      <c r="A24" s="3">
        <v>23</v>
      </c>
      <c r="B24" s="3" t="s">
        <v>48</v>
      </c>
      <c r="C24" s="3" t="s">
        <v>37</v>
      </c>
      <c r="D24" s="3" t="s">
        <v>11</v>
      </c>
      <c r="E24" s="3" t="s">
        <v>40</v>
      </c>
      <c r="F24" s="3" t="s">
        <v>11</v>
      </c>
      <c r="G24" s="3" t="s">
        <v>39</v>
      </c>
      <c r="H24" s="7" t="s">
        <v>11</v>
      </c>
      <c r="I24" s="7" t="s">
        <v>63</v>
      </c>
      <c r="J24" s="3"/>
      <c r="K24" s="3">
        <v>300</v>
      </c>
      <c r="M24" s="11" t="s">
        <v>47</v>
      </c>
      <c r="N24" s="1">
        <f>SUM(N22:N23)</f>
        <v>1</v>
      </c>
      <c r="O24" s="1">
        <f>O22</f>
        <v>-1</v>
      </c>
      <c r="P24" s="14">
        <f>SUM(N24:O24)</f>
        <v>0</v>
      </c>
    </row>
    <row r="25" spans="1:16" x14ac:dyDescent="0.25">
      <c r="A25" s="3">
        <v>24</v>
      </c>
      <c r="B25" s="3" t="s">
        <v>60</v>
      </c>
      <c r="C25" s="3" t="s">
        <v>38</v>
      </c>
      <c r="D25" s="3" t="s">
        <v>11</v>
      </c>
      <c r="E25" s="3" t="s">
        <v>39</v>
      </c>
      <c r="F25" s="3" t="s">
        <v>11</v>
      </c>
      <c r="G25" s="3" t="s">
        <v>40</v>
      </c>
      <c r="H25" s="7" t="s">
        <v>13</v>
      </c>
      <c r="I25" s="7" t="s">
        <v>62</v>
      </c>
      <c r="J25" s="3"/>
      <c r="K25" s="3">
        <v>300</v>
      </c>
    </row>
    <row r="26" spans="1:16" x14ac:dyDescent="0.25">
      <c r="A26" s="3">
        <v>25</v>
      </c>
      <c r="B26" s="3" t="s">
        <v>66</v>
      </c>
      <c r="C26" s="3" t="s">
        <v>33</v>
      </c>
      <c r="D26" s="3" t="s">
        <v>11</v>
      </c>
      <c r="E26" s="3" t="s">
        <v>40</v>
      </c>
      <c r="F26" s="3" t="s">
        <v>11</v>
      </c>
      <c r="G26" s="3" t="s">
        <v>39</v>
      </c>
      <c r="H26" s="7" t="s">
        <v>11</v>
      </c>
      <c r="I26" s="7" t="s">
        <v>63</v>
      </c>
      <c r="J26" s="3"/>
      <c r="K26" s="3">
        <v>300</v>
      </c>
    </row>
    <row r="27" spans="1:16" s="28" customFormat="1" x14ac:dyDescent="0.25">
      <c r="A27" s="29">
        <v>26</v>
      </c>
      <c r="B27" s="27" t="s">
        <v>68</v>
      </c>
      <c r="C27" s="27" t="s">
        <v>34</v>
      </c>
      <c r="D27" s="27" t="s">
        <v>11</v>
      </c>
      <c r="E27" s="27" t="s">
        <v>39</v>
      </c>
      <c r="F27" s="27" t="s">
        <v>77</v>
      </c>
      <c r="G27" s="27" t="s">
        <v>40</v>
      </c>
      <c r="H27" s="31" t="s">
        <v>81</v>
      </c>
      <c r="I27" s="31" t="s">
        <v>62</v>
      </c>
      <c r="J27" s="27">
        <v>5</v>
      </c>
      <c r="K27" s="27">
        <v>100</v>
      </c>
    </row>
    <row r="28" spans="1:16" x14ac:dyDescent="0.25">
      <c r="A28" s="3">
        <v>27</v>
      </c>
      <c r="B28" s="3" t="s">
        <v>23</v>
      </c>
      <c r="C28" s="3" t="s">
        <v>35</v>
      </c>
      <c r="D28" s="3" t="s">
        <v>11</v>
      </c>
      <c r="E28" s="3" t="s">
        <v>40</v>
      </c>
      <c r="F28" s="3" t="s">
        <v>11</v>
      </c>
      <c r="G28" s="3" t="s">
        <v>39</v>
      </c>
      <c r="H28" s="7" t="s">
        <v>13</v>
      </c>
      <c r="I28" s="7" t="s">
        <v>63</v>
      </c>
      <c r="J28" s="8">
        <v>3.5</v>
      </c>
      <c r="K28" s="3">
        <v>195</v>
      </c>
    </row>
    <row r="29" spans="1:16" x14ac:dyDescent="0.25">
      <c r="A29" s="3">
        <v>28</v>
      </c>
      <c r="B29" s="3" t="s">
        <v>25</v>
      </c>
      <c r="C29" s="3" t="s">
        <v>36</v>
      </c>
      <c r="D29" s="3" t="s">
        <v>11</v>
      </c>
      <c r="E29" s="3" t="s">
        <v>39</v>
      </c>
      <c r="F29" s="3" t="s">
        <v>11</v>
      </c>
      <c r="G29" s="3" t="s">
        <v>40</v>
      </c>
      <c r="H29" s="7" t="s">
        <v>13</v>
      </c>
      <c r="I29" s="7" t="s">
        <v>63</v>
      </c>
      <c r="J29" s="8">
        <v>2.5</v>
      </c>
      <c r="K29" s="3">
        <v>225</v>
      </c>
    </row>
    <row r="30" spans="1:16" x14ac:dyDescent="0.25">
      <c r="A30" s="3">
        <v>29</v>
      </c>
      <c r="B30" s="3" t="s">
        <v>24</v>
      </c>
      <c r="C30" s="3" t="s">
        <v>37</v>
      </c>
      <c r="D30" s="3" t="s">
        <v>11</v>
      </c>
      <c r="E30" s="3" t="s">
        <v>40</v>
      </c>
      <c r="F30" s="3" t="s">
        <v>11</v>
      </c>
      <c r="G30" s="3" t="s">
        <v>39</v>
      </c>
      <c r="H30" s="7" t="s">
        <v>11</v>
      </c>
      <c r="I30" s="7" t="s">
        <v>62</v>
      </c>
      <c r="J30" s="3"/>
      <c r="K30" s="3">
        <v>300</v>
      </c>
    </row>
    <row r="31" spans="1:16" x14ac:dyDescent="0.25">
      <c r="A31" s="3">
        <v>30</v>
      </c>
      <c r="B31" s="3" t="s">
        <v>42</v>
      </c>
      <c r="C31" s="3" t="s">
        <v>38</v>
      </c>
      <c r="D31" s="3" t="s">
        <v>11</v>
      </c>
      <c r="E31" s="3" t="s">
        <v>39</v>
      </c>
      <c r="F31" s="3" t="s">
        <v>11</v>
      </c>
      <c r="G31" s="3" t="s">
        <v>40</v>
      </c>
      <c r="H31" s="7" t="s">
        <v>11</v>
      </c>
      <c r="I31" s="7" t="s">
        <v>63</v>
      </c>
      <c r="J31" s="3"/>
      <c r="K31" s="3">
        <v>300</v>
      </c>
    </row>
    <row r="32" spans="1:16" x14ac:dyDescent="0.25">
      <c r="A32" s="3">
        <v>31</v>
      </c>
      <c r="B32" s="3" t="s">
        <v>67</v>
      </c>
      <c r="C32" s="3" t="s">
        <v>33</v>
      </c>
      <c r="D32" s="3" t="s">
        <v>11</v>
      </c>
      <c r="E32" s="3" t="s">
        <v>40</v>
      </c>
      <c r="F32" s="3" t="s">
        <v>11</v>
      </c>
      <c r="G32" s="3" t="s">
        <v>39</v>
      </c>
      <c r="H32" s="3" t="s">
        <v>11</v>
      </c>
      <c r="I32" s="3" t="s">
        <v>63</v>
      </c>
      <c r="J32" s="3"/>
      <c r="K32" s="3">
        <v>300</v>
      </c>
    </row>
    <row r="33" spans="1:12" x14ac:dyDescent="0.25">
      <c r="A33" s="15">
        <v>32</v>
      </c>
      <c r="B33" s="3" t="s">
        <v>59</v>
      </c>
      <c r="C33" s="3" t="s">
        <v>34</v>
      </c>
      <c r="D33" s="3" t="s">
        <v>11</v>
      </c>
      <c r="E33" s="3" t="s">
        <v>39</v>
      </c>
      <c r="F33" s="3" t="s">
        <v>11</v>
      </c>
      <c r="G33" s="3" t="s">
        <v>40</v>
      </c>
      <c r="H33" s="7" t="s">
        <v>13</v>
      </c>
      <c r="I33" s="7" t="s">
        <v>62</v>
      </c>
      <c r="J33" s="3"/>
      <c r="K33" s="11">
        <v>300</v>
      </c>
      <c r="L33" s="2" t="s">
        <v>107</v>
      </c>
    </row>
    <row r="34" spans="1:12" x14ac:dyDescent="0.25">
      <c r="A34" s="3">
        <v>33</v>
      </c>
      <c r="B34" s="3" t="s">
        <v>58</v>
      </c>
      <c r="C34" s="3" t="s">
        <v>35</v>
      </c>
      <c r="D34" s="3" t="s">
        <v>11</v>
      </c>
      <c r="E34" s="3" t="s">
        <v>40</v>
      </c>
      <c r="F34" s="3" t="s">
        <v>11</v>
      </c>
      <c r="G34" s="3" t="s">
        <v>39</v>
      </c>
      <c r="H34" s="7" t="s">
        <v>13</v>
      </c>
      <c r="I34" s="7" t="s">
        <v>62</v>
      </c>
      <c r="J34" s="3"/>
      <c r="K34" s="3">
        <v>300</v>
      </c>
    </row>
    <row r="35" spans="1:12" x14ac:dyDescent="0.25">
      <c r="A35" s="25">
        <v>34</v>
      </c>
      <c r="B35" s="3" t="s">
        <v>69</v>
      </c>
      <c r="C35" s="3" t="s">
        <v>36</v>
      </c>
      <c r="D35" s="3" t="s">
        <v>11</v>
      </c>
      <c r="E35" s="3" t="s">
        <v>39</v>
      </c>
      <c r="F35" s="3" t="s">
        <v>11</v>
      </c>
      <c r="G35" s="16" t="s">
        <v>40</v>
      </c>
      <c r="H35" s="7" t="s">
        <v>11</v>
      </c>
      <c r="I35" s="7" t="s">
        <v>62</v>
      </c>
      <c r="J35" s="8">
        <v>6</v>
      </c>
      <c r="K35" s="3">
        <v>150</v>
      </c>
      <c r="L35" s="2" t="s">
        <v>108</v>
      </c>
    </row>
    <row r="36" spans="1:12" x14ac:dyDescent="0.25">
      <c r="A36" s="15">
        <v>35</v>
      </c>
      <c r="B36" s="3" t="s">
        <v>57</v>
      </c>
      <c r="C36" s="3" t="s">
        <v>37</v>
      </c>
      <c r="D36" s="3" t="s">
        <v>11</v>
      </c>
      <c r="E36" s="3" t="s">
        <v>40</v>
      </c>
      <c r="F36" s="3" t="s">
        <v>11</v>
      </c>
      <c r="G36" s="3" t="s">
        <v>39</v>
      </c>
      <c r="H36" s="7" t="s">
        <v>13</v>
      </c>
      <c r="I36" s="7" t="s">
        <v>63</v>
      </c>
      <c r="J36" s="3"/>
      <c r="K36" s="11">
        <v>300</v>
      </c>
      <c r="L36" s="2" t="s">
        <v>109</v>
      </c>
    </row>
    <row r="37" spans="1:12" x14ac:dyDescent="0.25">
      <c r="A37" s="17">
        <v>36</v>
      </c>
      <c r="B37" s="16" t="s">
        <v>56</v>
      </c>
      <c r="C37" s="16" t="s">
        <v>38</v>
      </c>
      <c r="D37" s="16" t="s">
        <v>11</v>
      </c>
      <c r="E37" s="16" t="s">
        <v>39</v>
      </c>
      <c r="F37" s="16" t="s">
        <v>11</v>
      </c>
      <c r="G37" s="16" t="s">
        <v>40</v>
      </c>
      <c r="H37" s="18" t="s">
        <v>13</v>
      </c>
      <c r="I37" s="18" t="s">
        <v>62</v>
      </c>
      <c r="J37" s="16"/>
      <c r="K37" s="19">
        <v>300</v>
      </c>
      <c r="L37" s="2" t="s">
        <v>110</v>
      </c>
    </row>
    <row r="38" spans="1:12" x14ac:dyDescent="0.25">
      <c r="A38" s="26">
        <v>37</v>
      </c>
      <c r="B38" s="3" t="s">
        <v>73</v>
      </c>
      <c r="C38" s="3" t="s">
        <v>33</v>
      </c>
      <c r="D38" s="3" t="s">
        <v>11</v>
      </c>
      <c r="E38" s="3" t="s">
        <v>40</v>
      </c>
      <c r="F38" s="3" t="s">
        <v>11</v>
      </c>
      <c r="G38" s="3"/>
      <c r="H38" s="3" t="s">
        <v>81</v>
      </c>
      <c r="I38" s="3" t="s">
        <v>62</v>
      </c>
      <c r="J38" s="3"/>
      <c r="K38" s="1">
        <v>300</v>
      </c>
      <c r="L38" s="2" t="s">
        <v>112</v>
      </c>
    </row>
    <row r="39" spans="1:12" s="12" customFormat="1" x14ac:dyDescent="0.25">
      <c r="A39" s="20">
        <v>38</v>
      </c>
      <c r="B39" s="3" t="s">
        <v>76</v>
      </c>
      <c r="C39" s="3" t="s">
        <v>35</v>
      </c>
      <c r="D39" s="3" t="s">
        <v>11</v>
      </c>
      <c r="E39" s="3" t="s">
        <v>39</v>
      </c>
      <c r="F39" s="3" t="s">
        <v>11</v>
      </c>
      <c r="G39" s="3" t="s">
        <v>40</v>
      </c>
      <c r="H39" s="3" t="s">
        <v>11</v>
      </c>
      <c r="I39" s="3" t="s">
        <v>62</v>
      </c>
      <c r="J39" s="3"/>
      <c r="K39" s="1">
        <v>300</v>
      </c>
      <c r="L39" s="12" t="s">
        <v>111</v>
      </c>
    </row>
    <row r="40" spans="1:12" x14ac:dyDescent="0.25">
      <c r="A40" s="3">
        <v>39</v>
      </c>
      <c r="B40" s="3" t="s">
        <v>78</v>
      </c>
      <c r="C40" s="3" t="s">
        <v>33</v>
      </c>
      <c r="D40" s="3" t="s">
        <v>11</v>
      </c>
      <c r="E40" s="3" t="s">
        <v>39</v>
      </c>
      <c r="F40" s="3" t="s">
        <v>11</v>
      </c>
      <c r="G40" s="3" t="s">
        <v>40</v>
      </c>
      <c r="H40" s="3" t="s">
        <v>13</v>
      </c>
      <c r="I40" s="3" t="s">
        <v>63</v>
      </c>
      <c r="J40" s="3"/>
      <c r="K40" s="3">
        <v>300</v>
      </c>
    </row>
    <row r="41" spans="1:12" s="28" customFormat="1" x14ac:dyDescent="0.25">
      <c r="A41" s="29">
        <v>40</v>
      </c>
      <c r="B41" s="27" t="s">
        <v>55</v>
      </c>
      <c r="C41" s="27" t="s">
        <v>37</v>
      </c>
      <c r="D41" s="27" t="s">
        <v>11</v>
      </c>
      <c r="E41" s="27" t="s">
        <v>40</v>
      </c>
      <c r="F41" s="27" t="s">
        <v>13</v>
      </c>
      <c r="G41" s="27"/>
      <c r="H41" s="27" t="s">
        <v>81</v>
      </c>
      <c r="I41" s="27" t="s">
        <v>63</v>
      </c>
      <c r="J41" s="27"/>
      <c r="K41" s="30">
        <v>150</v>
      </c>
    </row>
    <row r="42" spans="1:12" x14ac:dyDescent="0.25">
      <c r="A42" s="3">
        <v>41</v>
      </c>
      <c r="B42" s="3" t="s">
        <v>83</v>
      </c>
      <c r="C42" s="3" t="s">
        <v>36</v>
      </c>
      <c r="D42" s="3" t="s">
        <v>11</v>
      </c>
      <c r="E42" s="3" t="s">
        <v>40</v>
      </c>
      <c r="F42" s="3" t="s">
        <v>11</v>
      </c>
      <c r="G42" s="3" t="s">
        <v>39</v>
      </c>
      <c r="H42" s="3" t="s">
        <v>11</v>
      </c>
      <c r="I42" s="3" t="s">
        <v>63</v>
      </c>
      <c r="J42" s="3"/>
      <c r="K42" s="3">
        <v>300</v>
      </c>
    </row>
    <row r="43" spans="1:12" x14ac:dyDescent="0.25">
      <c r="A43" s="3">
        <v>42</v>
      </c>
      <c r="B43" s="3" t="s">
        <v>70</v>
      </c>
      <c r="C43" s="3" t="s">
        <v>34</v>
      </c>
      <c r="D43" s="3" t="s">
        <v>11</v>
      </c>
      <c r="E43" s="3" t="s">
        <v>40</v>
      </c>
      <c r="F43" s="3" t="s">
        <v>11</v>
      </c>
      <c r="G43" s="3" t="s">
        <v>39</v>
      </c>
      <c r="H43" s="3" t="s">
        <v>11</v>
      </c>
      <c r="I43" s="3" t="s">
        <v>62</v>
      </c>
      <c r="J43" s="3"/>
      <c r="K43" s="3">
        <v>300</v>
      </c>
    </row>
    <row r="44" spans="1:12" x14ac:dyDescent="0.25">
      <c r="A44" s="3">
        <v>43</v>
      </c>
      <c r="B44" s="3" t="s">
        <v>74</v>
      </c>
      <c r="C44" s="3" t="s">
        <v>37</v>
      </c>
      <c r="D44" s="3" t="s">
        <v>11</v>
      </c>
      <c r="E44" s="3" t="s">
        <v>39</v>
      </c>
      <c r="F44" s="3" t="s">
        <v>11</v>
      </c>
      <c r="G44" s="3" t="s">
        <v>40</v>
      </c>
      <c r="H44" s="3" t="s">
        <v>11</v>
      </c>
      <c r="I44" s="3" t="s">
        <v>63</v>
      </c>
      <c r="J44" s="3"/>
      <c r="K44" s="3">
        <v>300</v>
      </c>
    </row>
    <row r="45" spans="1:12" x14ac:dyDescent="0.25">
      <c r="A45" s="3">
        <v>44</v>
      </c>
      <c r="B45" s="3" t="s">
        <v>84</v>
      </c>
      <c r="C45" s="3" t="s">
        <v>38</v>
      </c>
      <c r="D45" s="3" t="s">
        <v>11</v>
      </c>
      <c r="E45" s="3" t="s">
        <v>40</v>
      </c>
      <c r="F45" s="3" t="s">
        <v>11</v>
      </c>
      <c r="G45" s="3" t="s">
        <v>39</v>
      </c>
      <c r="H45" s="3" t="s">
        <v>11</v>
      </c>
      <c r="I45" s="3" t="s">
        <v>63</v>
      </c>
      <c r="J45" s="3"/>
      <c r="K45" s="3">
        <v>300</v>
      </c>
    </row>
    <row r="46" spans="1:12" x14ac:dyDescent="0.25">
      <c r="A46" s="3">
        <v>45</v>
      </c>
      <c r="B46" s="3" t="s">
        <v>72</v>
      </c>
      <c r="C46" s="3" t="s">
        <v>33</v>
      </c>
      <c r="D46" s="3" t="s">
        <v>11</v>
      </c>
      <c r="E46" s="3" t="s">
        <v>39</v>
      </c>
      <c r="F46" s="3" t="s">
        <v>11</v>
      </c>
      <c r="G46" s="3" t="s">
        <v>40</v>
      </c>
      <c r="H46" s="3" t="s">
        <v>11</v>
      </c>
      <c r="I46" s="3" t="s">
        <v>62</v>
      </c>
      <c r="J46" s="3"/>
      <c r="K46" s="3">
        <v>300</v>
      </c>
    </row>
    <row r="47" spans="1:12" x14ac:dyDescent="0.25">
      <c r="A47" s="3">
        <v>46</v>
      </c>
      <c r="B47" s="3" t="s">
        <v>86</v>
      </c>
      <c r="C47" s="3" t="s">
        <v>36</v>
      </c>
      <c r="D47" s="3" t="s">
        <v>11</v>
      </c>
      <c r="E47" s="3" t="s">
        <v>40</v>
      </c>
      <c r="F47" s="3" t="s">
        <v>11</v>
      </c>
      <c r="G47" s="3" t="s">
        <v>39</v>
      </c>
      <c r="H47" s="3" t="s">
        <v>11</v>
      </c>
      <c r="I47" s="3" t="s">
        <v>63</v>
      </c>
      <c r="J47" s="3"/>
      <c r="K47" s="3">
        <v>300</v>
      </c>
    </row>
    <row r="48" spans="1:12" x14ac:dyDescent="0.25">
      <c r="A48" s="3">
        <v>47</v>
      </c>
      <c r="B48" s="3" t="s">
        <v>85</v>
      </c>
      <c r="C48" s="3" t="s">
        <v>34</v>
      </c>
      <c r="D48" s="3" t="s">
        <v>11</v>
      </c>
      <c r="E48" s="3" t="s">
        <v>40</v>
      </c>
      <c r="F48" s="3" t="s">
        <v>11</v>
      </c>
      <c r="G48" s="3" t="s">
        <v>39</v>
      </c>
      <c r="H48" s="3" t="s">
        <v>11</v>
      </c>
      <c r="I48" s="3" t="s">
        <v>62</v>
      </c>
      <c r="J48" s="3"/>
      <c r="K48" s="3">
        <v>300</v>
      </c>
    </row>
    <row r="49" spans="1:12" x14ac:dyDescent="0.25">
      <c r="A49" s="3">
        <v>48</v>
      </c>
      <c r="B49" s="3" t="s">
        <v>92</v>
      </c>
      <c r="C49" s="3" t="s">
        <v>37</v>
      </c>
      <c r="D49" s="3" t="s">
        <v>11</v>
      </c>
      <c r="E49" s="3" t="s">
        <v>39</v>
      </c>
      <c r="F49" s="3" t="s">
        <v>11</v>
      </c>
      <c r="G49" s="3" t="s">
        <v>40</v>
      </c>
      <c r="H49" s="3" t="s">
        <v>11</v>
      </c>
      <c r="I49" s="3" t="s">
        <v>62</v>
      </c>
      <c r="J49" s="3"/>
      <c r="K49" s="3">
        <v>300</v>
      </c>
    </row>
    <row r="50" spans="1:12" x14ac:dyDescent="0.25">
      <c r="A50" s="3">
        <v>49</v>
      </c>
      <c r="B50" s="3" t="s">
        <v>75</v>
      </c>
      <c r="C50" s="3" t="s">
        <v>35</v>
      </c>
      <c r="D50" s="3" t="s">
        <v>11</v>
      </c>
      <c r="E50" s="3" t="s">
        <v>39</v>
      </c>
      <c r="F50" s="3" t="s">
        <v>11</v>
      </c>
      <c r="G50" s="3" t="s">
        <v>40</v>
      </c>
      <c r="H50" s="3" t="s">
        <v>11</v>
      </c>
      <c r="I50" s="3" t="s">
        <v>62</v>
      </c>
      <c r="J50" s="3"/>
      <c r="K50" s="3">
        <v>300</v>
      </c>
    </row>
    <row r="51" spans="1:12" x14ac:dyDescent="0.25">
      <c r="A51" s="3">
        <v>50</v>
      </c>
      <c r="B51" s="3" t="s">
        <v>94</v>
      </c>
      <c r="C51" s="3" t="s">
        <v>38</v>
      </c>
      <c r="D51" s="3" t="s">
        <v>11</v>
      </c>
      <c r="E51" s="3" t="s">
        <v>40</v>
      </c>
      <c r="F51" s="3" t="s">
        <v>11</v>
      </c>
      <c r="G51" s="3" t="s">
        <v>39</v>
      </c>
      <c r="H51" s="3" t="s">
        <v>11</v>
      </c>
      <c r="I51" s="3" t="s">
        <v>62</v>
      </c>
      <c r="J51" s="3"/>
      <c r="K51" s="3">
        <v>300</v>
      </c>
    </row>
    <row r="52" spans="1:12" x14ac:dyDescent="0.25">
      <c r="A52" s="3">
        <v>51</v>
      </c>
      <c r="B52" s="3" t="s">
        <v>93</v>
      </c>
      <c r="C52" s="3" t="s">
        <v>33</v>
      </c>
      <c r="D52" s="3" t="s">
        <v>11</v>
      </c>
      <c r="E52" s="3" t="s">
        <v>39</v>
      </c>
      <c r="F52" s="3" t="s">
        <v>11</v>
      </c>
      <c r="G52" s="3" t="s">
        <v>40</v>
      </c>
      <c r="H52" s="3" t="s">
        <v>11</v>
      </c>
      <c r="I52" s="3" t="s">
        <v>62</v>
      </c>
      <c r="J52" s="3"/>
      <c r="K52" s="3">
        <v>300</v>
      </c>
    </row>
    <row r="53" spans="1:12" x14ac:dyDescent="0.25">
      <c r="A53" s="3">
        <v>52</v>
      </c>
      <c r="B53" s="3" t="s">
        <v>95</v>
      </c>
      <c r="C53" s="3"/>
      <c r="D53" s="3" t="s">
        <v>11</v>
      </c>
      <c r="E53" s="3"/>
      <c r="F53" s="3" t="s">
        <v>11</v>
      </c>
      <c r="G53" s="3"/>
      <c r="H53" s="3" t="s">
        <v>13</v>
      </c>
      <c r="I53" s="3" t="s">
        <v>63</v>
      </c>
      <c r="J53" s="3"/>
      <c r="K53" s="3">
        <v>220</v>
      </c>
      <c r="L53" s="2" t="s">
        <v>103</v>
      </c>
    </row>
    <row r="54" spans="1:12" x14ac:dyDescent="0.25">
      <c r="A54" s="3">
        <v>53</v>
      </c>
      <c r="B54" s="3" t="s">
        <v>97</v>
      </c>
      <c r="C54" s="3" t="s">
        <v>34</v>
      </c>
      <c r="D54" s="3" t="s">
        <v>11</v>
      </c>
      <c r="E54" s="3" t="s">
        <v>40</v>
      </c>
      <c r="F54" s="3" t="s">
        <v>11</v>
      </c>
      <c r="G54" s="3" t="s">
        <v>39</v>
      </c>
      <c r="H54" s="3" t="s">
        <v>13</v>
      </c>
      <c r="I54" s="3" t="s">
        <v>63</v>
      </c>
      <c r="J54" s="3"/>
      <c r="K54" s="3">
        <v>300</v>
      </c>
    </row>
    <row r="55" spans="1:12" x14ac:dyDescent="0.25">
      <c r="A55" s="3">
        <v>54</v>
      </c>
      <c r="B55" s="3" t="s">
        <v>96</v>
      </c>
      <c r="C55" s="3" t="s">
        <v>37</v>
      </c>
      <c r="D55" s="3" t="s">
        <v>11</v>
      </c>
      <c r="E55" s="3" t="s">
        <v>39</v>
      </c>
      <c r="F55" s="3" t="s">
        <v>11</v>
      </c>
      <c r="G55" s="3" t="s">
        <v>40</v>
      </c>
      <c r="H55" s="3" t="s">
        <v>11</v>
      </c>
      <c r="I55" s="3" t="s">
        <v>63</v>
      </c>
      <c r="J55" s="3"/>
      <c r="K55" s="3">
        <v>300</v>
      </c>
    </row>
    <row r="56" spans="1:12" x14ac:dyDescent="0.25">
      <c r="A56" s="3">
        <v>55</v>
      </c>
      <c r="B56" s="3" t="s">
        <v>98</v>
      </c>
      <c r="C56" s="3" t="s">
        <v>35</v>
      </c>
      <c r="D56" s="3" t="s">
        <v>11</v>
      </c>
      <c r="E56" s="3" t="s">
        <v>39</v>
      </c>
      <c r="F56" s="3" t="s">
        <v>11</v>
      </c>
      <c r="G56" s="3" t="s">
        <v>40</v>
      </c>
      <c r="H56" s="3" t="s">
        <v>11</v>
      </c>
      <c r="I56" s="3" t="s">
        <v>63</v>
      </c>
      <c r="J56" s="3"/>
      <c r="K56" s="3">
        <v>300</v>
      </c>
    </row>
    <row r="57" spans="1:12" x14ac:dyDescent="0.25">
      <c r="A57" s="3">
        <v>56</v>
      </c>
      <c r="B57" s="3" t="s">
        <v>91</v>
      </c>
      <c r="C57" s="3" t="s">
        <v>38</v>
      </c>
      <c r="D57" s="3" t="s">
        <v>11</v>
      </c>
      <c r="E57" s="3" t="s">
        <v>40</v>
      </c>
      <c r="F57" s="3" t="s">
        <v>11</v>
      </c>
      <c r="G57" s="3" t="s">
        <v>39</v>
      </c>
      <c r="H57" s="3" t="s">
        <v>13</v>
      </c>
      <c r="I57" s="3" t="s">
        <v>63</v>
      </c>
      <c r="J57" s="3"/>
      <c r="K57" s="3">
        <v>300</v>
      </c>
    </row>
    <row r="58" spans="1:12" x14ac:dyDescent="0.25">
      <c r="A58" s="3">
        <v>57</v>
      </c>
      <c r="B58" s="3" t="s">
        <v>99</v>
      </c>
      <c r="C58" s="3" t="s">
        <v>33</v>
      </c>
      <c r="D58" s="3" t="s">
        <v>11</v>
      </c>
      <c r="E58" s="3" t="s">
        <v>39</v>
      </c>
      <c r="F58" s="3" t="s">
        <v>11</v>
      </c>
      <c r="G58" s="3" t="s">
        <v>40</v>
      </c>
      <c r="H58" s="3" t="s">
        <v>13</v>
      </c>
      <c r="I58" s="3" t="s">
        <v>63</v>
      </c>
      <c r="J58" s="3"/>
      <c r="K58" s="3">
        <v>300</v>
      </c>
    </row>
    <row r="59" spans="1:12" x14ac:dyDescent="0.25">
      <c r="A59" s="3">
        <v>58</v>
      </c>
      <c r="B59" s="3" t="s">
        <v>100</v>
      </c>
      <c r="C59" s="3" t="s">
        <v>36</v>
      </c>
      <c r="D59" s="3" t="s">
        <v>11</v>
      </c>
      <c r="E59" s="3" t="s">
        <v>40</v>
      </c>
      <c r="F59" s="3" t="s">
        <v>11</v>
      </c>
      <c r="G59" s="3" t="s">
        <v>39</v>
      </c>
      <c r="H59" s="3" t="s">
        <v>11</v>
      </c>
      <c r="I59" s="3" t="s">
        <v>62</v>
      </c>
      <c r="J59" s="3"/>
      <c r="K59" s="3">
        <v>300</v>
      </c>
    </row>
    <row r="60" spans="1:12" x14ac:dyDescent="0.25">
      <c r="A60" s="3">
        <v>59</v>
      </c>
      <c r="B60" s="3" t="s">
        <v>101</v>
      </c>
      <c r="C60" s="3" t="s">
        <v>34</v>
      </c>
      <c r="D60" s="3" t="s">
        <v>11</v>
      </c>
      <c r="E60" s="3" t="s">
        <v>40</v>
      </c>
      <c r="F60" s="3" t="s">
        <v>11</v>
      </c>
      <c r="G60" s="3" t="s">
        <v>39</v>
      </c>
      <c r="H60" s="3" t="s">
        <v>11</v>
      </c>
      <c r="I60" s="3" t="s">
        <v>63</v>
      </c>
      <c r="J60" s="3"/>
      <c r="K60" s="3">
        <v>300</v>
      </c>
    </row>
    <row r="61" spans="1:12" s="28" customFormat="1" ht="14.25" customHeight="1" x14ac:dyDescent="0.25">
      <c r="A61" s="27">
        <v>60</v>
      </c>
      <c r="B61" s="27" t="s">
        <v>114</v>
      </c>
      <c r="C61" s="27"/>
      <c r="D61" s="27" t="s">
        <v>11</v>
      </c>
      <c r="E61" s="27"/>
      <c r="F61" s="27"/>
      <c r="G61" s="27"/>
      <c r="H61" s="27" t="s">
        <v>81</v>
      </c>
      <c r="I61" s="27" t="s">
        <v>63</v>
      </c>
      <c r="J61" s="27"/>
      <c r="K61" s="27">
        <v>150</v>
      </c>
      <c r="L61" s="28" t="s">
        <v>115</v>
      </c>
    </row>
    <row r="62" spans="1:12" x14ac:dyDescent="0.25">
      <c r="A62" s="3">
        <v>61</v>
      </c>
      <c r="B62" s="3" t="s">
        <v>102</v>
      </c>
      <c r="C62" s="3" t="s">
        <v>37</v>
      </c>
      <c r="D62" s="3" t="s">
        <v>11</v>
      </c>
      <c r="E62" s="3" t="s">
        <v>39</v>
      </c>
      <c r="F62" s="3" t="s">
        <v>11</v>
      </c>
      <c r="G62" s="3" t="s">
        <v>40</v>
      </c>
      <c r="H62" s="3" t="s">
        <v>13</v>
      </c>
      <c r="I62" s="3" t="s">
        <v>63</v>
      </c>
      <c r="J62" s="3"/>
      <c r="K62" s="3">
        <v>300</v>
      </c>
    </row>
    <row r="63" spans="1:12" x14ac:dyDescent="0.25">
      <c r="A63" s="3">
        <v>62</v>
      </c>
      <c r="B63" s="3" t="s">
        <v>105</v>
      </c>
      <c r="C63" s="3"/>
      <c r="D63" s="3" t="s">
        <v>11</v>
      </c>
      <c r="E63" s="3"/>
      <c r="F63" s="3" t="s">
        <v>11</v>
      </c>
      <c r="G63" s="3"/>
      <c r="H63" s="7" t="s">
        <v>11</v>
      </c>
      <c r="I63" s="3" t="s">
        <v>62</v>
      </c>
      <c r="J63" s="3"/>
      <c r="K63" s="3">
        <v>300</v>
      </c>
    </row>
    <row r="64" spans="1:12" x14ac:dyDescent="0.25">
      <c r="A64" s="3">
        <v>63</v>
      </c>
      <c r="B64" s="3" t="s">
        <v>104</v>
      </c>
      <c r="C64" s="3" t="s">
        <v>33</v>
      </c>
      <c r="D64" s="3" t="s">
        <v>11</v>
      </c>
      <c r="E64" s="3" t="s">
        <v>39</v>
      </c>
      <c r="F64" s="3" t="s">
        <v>11</v>
      </c>
      <c r="G64" s="3" t="s">
        <v>40</v>
      </c>
      <c r="H64" s="7" t="s">
        <v>11</v>
      </c>
      <c r="I64" s="3" t="s">
        <v>63</v>
      </c>
      <c r="J64" s="3"/>
      <c r="K64" s="3">
        <v>300</v>
      </c>
    </row>
    <row r="65" spans="1:12" x14ac:dyDescent="0.25">
      <c r="A65" s="3">
        <v>64</v>
      </c>
      <c r="B65" s="3" t="s">
        <v>106</v>
      </c>
      <c r="C65" s="3" t="s">
        <v>35</v>
      </c>
      <c r="D65" s="3" t="s">
        <v>11</v>
      </c>
      <c r="E65" s="3" t="s">
        <v>39</v>
      </c>
      <c r="F65" s="3" t="s">
        <v>11</v>
      </c>
      <c r="G65" s="3" t="s">
        <v>40</v>
      </c>
      <c r="H65" s="7" t="s">
        <v>11</v>
      </c>
      <c r="I65" s="3" t="s">
        <v>62</v>
      </c>
      <c r="J65" s="3"/>
      <c r="K65" s="3">
        <v>300</v>
      </c>
      <c r="L65" s="2" t="s">
        <v>116</v>
      </c>
    </row>
    <row r="66" spans="1:12" x14ac:dyDescent="0.25">
      <c r="A66" s="3">
        <v>65</v>
      </c>
      <c r="B66" s="3" t="s">
        <v>113</v>
      </c>
      <c r="C66" s="3" t="s">
        <v>38</v>
      </c>
      <c r="D66" s="3" t="s">
        <v>11</v>
      </c>
      <c r="E66" s="3" t="s">
        <v>40</v>
      </c>
      <c r="F66" s="3" t="s">
        <v>11</v>
      </c>
      <c r="G66" s="3" t="s">
        <v>39</v>
      </c>
      <c r="H66" s="3" t="s">
        <v>13</v>
      </c>
      <c r="I66" s="3" t="s">
        <v>63</v>
      </c>
      <c r="J66" s="3"/>
      <c r="K66" s="3">
        <v>300</v>
      </c>
    </row>
    <row r="67" spans="1:12" x14ac:dyDescent="0.25">
      <c r="F67" s="3"/>
      <c r="H67" s="2"/>
    </row>
    <row r="68" spans="1:12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2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2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2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</row>
  </sheetData>
  <autoFilter ref="A1:Q65" xr:uid="{CA5FCFAF-DDFD-4BCE-B4C0-911EBFC7668B}">
    <filterColumn colId="14" showButton="0"/>
  </autoFilter>
  <mergeCells count="1">
    <mergeCell ref="O1:P1"/>
  </mergeCells>
  <conditionalFormatting sqref="D68 D70:D1048576 D1:D65">
    <cfRule type="cellIs" dxfId="20" priority="35" operator="equal">
      <formula>"V"</formula>
    </cfRule>
  </conditionalFormatting>
  <conditionalFormatting sqref="G2">
    <cfRule type="cellIs" dxfId="19" priority="34" operator="equal">
      <formula>"V"</formula>
    </cfRule>
  </conditionalFormatting>
  <conditionalFormatting sqref="H1:H51 H70:H1048576 H53 H68 H55:H62">
    <cfRule type="cellIs" dxfId="18" priority="32" operator="equal">
      <formula>"V"</formula>
    </cfRule>
  </conditionalFormatting>
  <conditionalFormatting sqref="D38 F38">
    <cfRule type="cellIs" dxfId="17" priority="29" operator="equal">
      <formula>"V"</formula>
    </cfRule>
  </conditionalFormatting>
  <conditionalFormatting sqref="H38">
    <cfRule type="cellIs" dxfId="16" priority="28" operator="equal">
      <formula>"V"</formula>
    </cfRule>
  </conditionalFormatting>
  <conditionalFormatting sqref="H43">
    <cfRule type="cellIs" dxfId="15" priority="25" operator="equal">
      <formula>"V"</formula>
    </cfRule>
  </conditionalFormatting>
  <conditionalFormatting sqref="H40">
    <cfRule type="cellIs" dxfId="14" priority="23" operator="equal">
      <formula>"V"</formula>
    </cfRule>
  </conditionalFormatting>
  <conditionalFormatting sqref="F1:F51 F68 F70:F1048576 F53 F55:F57 F61">
    <cfRule type="cellIs" dxfId="13" priority="19" operator="equal">
      <formula>"X"</formula>
    </cfRule>
    <cfRule type="cellIs" dxfId="12" priority="22" operator="equal">
      <formula>"V"</formula>
    </cfRule>
  </conditionalFormatting>
  <conditionalFormatting sqref="F47:F65 F67">
    <cfRule type="cellIs" dxfId="11" priority="11" operator="equal">
      <formula>"X"</formula>
    </cfRule>
    <cfRule type="cellIs" dxfId="10" priority="12" operator="equal">
      <formula>"V"</formula>
    </cfRule>
  </conditionalFormatting>
  <conditionalFormatting sqref="D52">
    <cfRule type="cellIs" dxfId="9" priority="14" operator="equal">
      <formula>"V"</formula>
    </cfRule>
  </conditionalFormatting>
  <conditionalFormatting sqref="H52">
    <cfRule type="cellIs" dxfId="8" priority="13" operator="equal">
      <formula>"V"</formula>
    </cfRule>
  </conditionalFormatting>
  <conditionalFormatting sqref="D54">
    <cfRule type="cellIs" dxfId="7" priority="9" operator="equal">
      <formula>"V"</formula>
    </cfRule>
  </conditionalFormatting>
  <conditionalFormatting sqref="D58:D59">
    <cfRule type="cellIs" dxfId="6" priority="7" operator="equal">
      <formula>"V"</formula>
    </cfRule>
  </conditionalFormatting>
  <conditionalFormatting sqref="H64">
    <cfRule type="cellIs" dxfId="5" priority="6" operator="equal">
      <formula>"V"</formula>
    </cfRule>
  </conditionalFormatting>
  <conditionalFormatting sqref="H63">
    <cfRule type="cellIs" dxfId="4" priority="5" operator="equal">
      <formula>"V"</formula>
    </cfRule>
  </conditionalFormatting>
  <conditionalFormatting sqref="H65">
    <cfRule type="cellIs" dxfId="3" priority="4" operator="equal">
      <formula>"V"</formula>
    </cfRule>
  </conditionalFormatting>
  <conditionalFormatting sqref="A66:B66 I66:K66 D66 F66">
    <cfRule type="cellIs" dxfId="2" priority="2" operator="equal">
      <formula>"X"</formula>
    </cfRule>
    <cfRule type="cellIs" dxfId="1" priority="3" operator="equal">
      <formula>"V"</formula>
    </cfRule>
  </conditionalFormatting>
  <conditionalFormatting sqref="H66">
    <cfRule type="cellIs" dxfId="0" priority="1" operator="equal">
      <formula>"V"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Orel</dc:creator>
  <cp:lastModifiedBy>Orel Levy</cp:lastModifiedBy>
  <dcterms:created xsi:type="dcterms:W3CDTF">2015-06-05T18:17:20Z</dcterms:created>
  <dcterms:modified xsi:type="dcterms:W3CDTF">2026-01-06T13:47:28Z</dcterms:modified>
</cp:coreProperties>
</file>